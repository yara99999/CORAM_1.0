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boroyy\Documents\Thesis Research\KAPSARC collaboration\Yara Input\Optimization\Model\Data\2023\"/>
    </mc:Choice>
  </mc:AlternateContent>
  <xr:revisionPtr revIDLastSave="0" documentId="13_ncr:1_{FB717DA3-3148-48F8-A148-6CDF7A2119F1}" xr6:coauthVersionLast="47" xr6:coauthVersionMax="47" xr10:uidLastSave="{00000000-0000-0000-0000-000000000000}"/>
  <bookViews>
    <workbookView xWindow="-96" yWindow="-96" windowWidth="20928" windowHeight="12432" xr2:uid="{AD6113B0-22D8-407B-B508-AB0B0A2B4A75}"/>
  </bookViews>
  <sheets>
    <sheet name="WaterSources" sheetId="1" r:id="rId1"/>
    <sheet name="PowerPlant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3" l="1"/>
  <c r="F3" i="3"/>
  <c r="F4" i="3"/>
  <c r="F5" i="3"/>
  <c r="F6" i="3"/>
  <c r="F7" i="3"/>
  <c r="F8" i="3"/>
  <c r="D8" i="3"/>
  <c r="C8" i="3"/>
  <c r="D7" i="3"/>
  <c r="C7" i="3"/>
  <c r="D6" i="3"/>
  <c r="C6" i="3"/>
  <c r="D5" i="3"/>
  <c r="C5" i="3"/>
  <c r="D4" i="3"/>
  <c r="C4" i="3"/>
  <c r="D3" i="3"/>
  <c r="C3" i="3"/>
  <c r="D2" i="3"/>
  <c r="C2" i="3"/>
</calcChain>
</file>

<file path=xl/sharedStrings.xml><?xml version="1.0" encoding="utf-8"?>
<sst xmlns="http://schemas.openxmlformats.org/spreadsheetml/2006/main" count="55" uniqueCount="28">
  <si>
    <t>Name</t>
  </si>
  <si>
    <t>Desalination</t>
  </si>
  <si>
    <t>NewNG</t>
  </si>
  <si>
    <t>NewDiesel</t>
  </si>
  <si>
    <t>NewCrude</t>
  </si>
  <si>
    <t>NewSolar</t>
  </si>
  <si>
    <t>NewWind</t>
  </si>
  <si>
    <t>NewNuclear</t>
  </si>
  <si>
    <t>Power Plant</t>
  </si>
  <si>
    <t>NewHFO</t>
  </si>
  <si>
    <t>NewSaudiDam</t>
  </si>
  <si>
    <t>NewSaudiTWW</t>
  </si>
  <si>
    <t>SurfaceWater</t>
  </si>
  <si>
    <t>TreatedWW</t>
  </si>
  <si>
    <t>Plant_Type</t>
  </si>
  <si>
    <t>Energy (kwh/m3)</t>
  </si>
  <si>
    <t>CO2 (t/kwh)</t>
  </si>
  <si>
    <t>Eff</t>
  </si>
  <si>
    <t>OppCost ($/kwh)</t>
  </si>
  <si>
    <t>OPEX (M$/MW)</t>
  </si>
  <si>
    <t>NewRO</t>
  </si>
  <si>
    <t>Capacity</t>
  </si>
  <si>
    <t>Capex</t>
  </si>
  <si>
    <t>Lifetime</t>
  </si>
  <si>
    <t>Unit Cost</t>
  </si>
  <si>
    <t>Capacity (BCM)</t>
  </si>
  <si>
    <t>Capex (Million USD)</t>
  </si>
  <si>
    <t>Opex Cost ($/m3)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</si>
</sst>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#,##0.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164" fontId="0" fillId="0" borderId="0" xfId="0" applyNumberFormat="1"/>
    <xf numFmtId="0" fontId="0" fillId="0" borderId="0" xfId="0" applyAlignment="1">
      <alignment horizontal="right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44" fontId="0" fillId="0" borderId="0" xfId="1" applyFont="1"/>
    <xf numFmtId="3" fontId="0" fillId="0" borderId="0" xfId="0" applyNumberFormat="1"/>
    <xf numFmtId="11" fontId="0" fillId="0" borderId="0" xfId="0" applyNumberFormat="1"/>
    <xf numFmtId="44" fontId="0" fillId="0" borderId="0" xfId="0" applyNumberFormat="1"/>
    <xf numFmtId="4" fontId="0" fillId="0" borderId="0" xfId="0" applyNumberFormat="1"/>
    <xf numFmtId="2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04935-1F35-4B3D-A033-52AC8688FFA4}">
  <dimension ref="A1:M11"/>
  <sheetViews>
    <sheetView tabSelected="1" workbookViewId="0">
      <selection activeCell="B9" sqref="B9"/>
    </sheetView>
  </sheetViews>
  <sheetFormatPr defaultRowHeight="14.4" x14ac:dyDescent="0.55000000000000004"/>
  <cols>
    <col min="1" max="1" width="12.20703125" bestFit="1" customWidth="1"/>
    <col min="2" max="2" width="10.47265625" bestFit="1" customWidth="1"/>
    <col min="3" max="3" width="15.83984375" bestFit="1" customWidth="1"/>
    <col min="4" max="4" width="17.05078125" bestFit="1" customWidth="1"/>
    <col min="5" max="5" width="14.47265625" bestFit="1" customWidth="1"/>
    <col min="6" max="6" width="10" customWidth="1"/>
    <col min="7" max="7" width="13.7890625" bestFit="1" customWidth="1"/>
    <col min="9" max="9" width="10.734375" bestFit="1" customWidth="1"/>
    <col min="12" max="13" width="12.26171875" bestFit="1" customWidth="1"/>
  </cols>
  <sheetData>
    <row r="1" spans="1:13" x14ac:dyDescent="0.55000000000000004">
      <c r="A1" t="s">
        <v>0</v>
      </c>
      <c r="B1" t="s">
        <v>14</v>
      </c>
      <c r="C1" t="s">
        <v>25</v>
      </c>
      <c r="D1" t="s">
        <v>26</v>
      </c>
      <c r="E1" t="s">
        <v>27</v>
      </c>
      <c r="F1" t="s">
        <v>17</v>
      </c>
      <c r="G1" t="s">
        <v>15</v>
      </c>
    </row>
    <row r="2" spans="1:13" x14ac:dyDescent="0.55000000000000004">
      <c r="A2" t="s">
        <v>20</v>
      </c>
      <c r="B2" t="s">
        <v>1</v>
      </c>
      <c r="C2" s="9">
        <v>0.75</v>
      </c>
      <c r="D2" s="10">
        <v>2000</v>
      </c>
      <c r="E2">
        <v>0.25</v>
      </c>
      <c r="F2">
        <v>0.95</v>
      </c>
      <c r="G2">
        <v>5</v>
      </c>
    </row>
    <row r="3" spans="1:13" x14ac:dyDescent="0.55000000000000004">
      <c r="A3" t="s">
        <v>10</v>
      </c>
      <c r="B3" t="s">
        <v>12</v>
      </c>
      <c r="C3" s="9">
        <v>0.1</v>
      </c>
      <c r="D3" s="10">
        <v>500</v>
      </c>
      <c r="E3">
        <v>0.2</v>
      </c>
      <c r="F3">
        <v>0.9</v>
      </c>
      <c r="G3">
        <v>0.52</v>
      </c>
    </row>
    <row r="4" spans="1:13" x14ac:dyDescent="0.55000000000000004">
      <c r="A4" t="s">
        <v>11</v>
      </c>
      <c r="B4" t="s">
        <v>13</v>
      </c>
      <c r="C4" s="9">
        <v>0.1</v>
      </c>
      <c r="D4" s="10">
        <v>300</v>
      </c>
      <c r="E4">
        <v>0.35</v>
      </c>
      <c r="F4">
        <v>0.9</v>
      </c>
      <c r="G4">
        <v>0.8</v>
      </c>
    </row>
    <row r="5" spans="1:13" x14ac:dyDescent="0.55000000000000004">
      <c r="D5" s="1"/>
      <c r="K5" s="6"/>
      <c r="L5" s="6"/>
      <c r="M5" s="7"/>
    </row>
    <row r="6" spans="1:13" x14ac:dyDescent="0.55000000000000004">
      <c r="D6" s="1"/>
      <c r="I6" s="6"/>
      <c r="K6" s="6"/>
      <c r="L6" s="6"/>
      <c r="M6" s="7"/>
    </row>
    <row r="7" spans="1:13" x14ac:dyDescent="0.55000000000000004">
      <c r="D7" s="1"/>
      <c r="K7" s="6"/>
      <c r="L7" s="6"/>
      <c r="M7" s="7"/>
    </row>
    <row r="8" spans="1:13" x14ac:dyDescent="0.55000000000000004">
      <c r="C8" s="6"/>
      <c r="D8" s="1"/>
      <c r="K8" s="6"/>
      <c r="L8" s="6"/>
      <c r="M8" s="7"/>
    </row>
    <row r="9" spans="1:13" x14ac:dyDescent="0.55000000000000004">
      <c r="D9" s="1"/>
      <c r="K9" s="6"/>
      <c r="L9" s="6"/>
      <c r="M9" s="7"/>
    </row>
    <row r="10" spans="1:13" x14ac:dyDescent="0.55000000000000004">
      <c r="D10" s="1"/>
      <c r="L10" s="6"/>
      <c r="M10" s="6"/>
    </row>
    <row r="11" spans="1:13" x14ac:dyDescent="0.55000000000000004">
      <c r="D11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5A5BE-AB46-4059-90D8-DDBEDD172C92}">
  <dimension ref="A1:H9"/>
  <sheetViews>
    <sheetView topLeftCell="B1" workbookViewId="0">
      <selection activeCell="F6" sqref="F6:H8"/>
    </sheetView>
  </sheetViews>
  <sheetFormatPr defaultRowHeight="14.4" x14ac:dyDescent="0.55000000000000004"/>
  <cols>
    <col min="1" max="1" width="10.3125" bestFit="1" customWidth="1"/>
    <col min="2" max="2" width="9.9453125" bestFit="1" customWidth="1"/>
    <col min="3" max="3" width="9.9453125" customWidth="1"/>
    <col min="4" max="4" width="17.05078125" bestFit="1" customWidth="1"/>
    <col min="5" max="5" width="12.62890625" bestFit="1" customWidth="1"/>
  </cols>
  <sheetData>
    <row r="1" spans="1:8" x14ac:dyDescent="0.55000000000000004">
      <c r="A1" t="s">
        <v>0</v>
      </c>
      <c r="B1" t="s">
        <v>14</v>
      </c>
      <c r="C1" t="s">
        <v>21</v>
      </c>
      <c r="D1" t="s">
        <v>22</v>
      </c>
      <c r="E1" t="s">
        <v>19</v>
      </c>
      <c r="F1" t="s">
        <v>18</v>
      </c>
      <c r="G1" t="s">
        <v>17</v>
      </c>
      <c r="H1" t="s">
        <v>16</v>
      </c>
    </row>
    <row r="2" spans="1:8" x14ac:dyDescent="0.55000000000000004">
      <c r="A2" t="s">
        <v>2</v>
      </c>
      <c r="B2" t="s">
        <v>8</v>
      </c>
      <c r="C2" s="6">
        <v>1000</v>
      </c>
      <c r="D2" s="5">
        <v>1000</v>
      </c>
      <c r="E2" s="4">
        <v>0.02</v>
      </c>
      <c r="F2" s="2">
        <v>0.01</v>
      </c>
      <c r="G2" s="3">
        <v>0.52</v>
      </c>
      <c r="H2" s="2">
        <v>2.267818575E-4</v>
      </c>
    </row>
    <row r="3" spans="1:8" x14ac:dyDescent="0.55000000000000004">
      <c r="A3" t="s">
        <v>3</v>
      </c>
      <c r="B3" t="s">
        <v>8</v>
      </c>
      <c r="C3" s="6">
        <v>1000</v>
      </c>
      <c r="D3" s="5">
        <v>1000</v>
      </c>
      <c r="E3" s="4">
        <v>4.4999999999999998E-2</v>
      </c>
      <c r="F3" s="2">
        <v>0.01</v>
      </c>
      <c r="G3" s="3">
        <v>0.38500000000000001</v>
      </c>
      <c r="H3" s="2">
        <v>2.267818575E-4</v>
      </c>
    </row>
    <row r="4" spans="1:8" x14ac:dyDescent="0.55000000000000004">
      <c r="A4" t="s">
        <v>4</v>
      </c>
      <c r="B4" t="s">
        <v>8</v>
      </c>
      <c r="C4" s="6">
        <v>1000</v>
      </c>
      <c r="D4" s="5">
        <v>1000</v>
      </c>
      <c r="E4" s="4">
        <v>3.5000000000000003E-2</v>
      </c>
      <c r="F4" s="2">
        <v>0.02</v>
      </c>
      <c r="G4" s="3">
        <v>0.32500000000000001</v>
      </c>
      <c r="H4" s="2">
        <v>2.267818575E-4</v>
      </c>
    </row>
    <row r="5" spans="1:8" x14ac:dyDescent="0.55000000000000004">
      <c r="A5" t="s">
        <v>9</v>
      </c>
      <c r="B5" t="s">
        <v>8</v>
      </c>
      <c r="C5" s="6">
        <v>1000</v>
      </c>
      <c r="D5" s="5">
        <v>1000</v>
      </c>
      <c r="E5" s="4">
        <v>0.03</v>
      </c>
      <c r="F5" s="2">
        <v>0.02</v>
      </c>
      <c r="G5" s="3">
        <v>0.34</v>
      </c>
      <c r="H5" s="2">
        <v>2.267818575E-4</v>
      </c>
    </row>
    <row r="6" spans="1:8" x14ac:dyDescent="0.55000000000000004">
      <c r="A6" t="s">
        <v>5</v>
      </c>
      <c r="B6" t="s">
        <v>8</v>
      </c>
      <c r="C6" s="6">
        <v>1000</v>
      </c>
      <c r="D6" s="5">
        <v>1000</v>
      </c>
      <c r="E6" s="4">
        <v>7.4999999999999997E-3</v>
      </c>
      <c r="F6" s="2">
        <v>0.03</v>
      </c>
      <c r="G6" s="3">
        <v>0.25</v>
      </c>
      <c r="H6">
        <v>0</v>
      </c>
    </row>
    <row r="7" spans="1:8" x14ac:dyDescent="0.55000000000000004">
      <c r="A7" t="s">
        <v>6</v>
      </c>
      <c r="B7" t="s">
        <v>8</v>
      </c>
      <c r="C7" s="6">
        <v>1000</v>
      </c>
      <c r="D7" s="5">
        <v>1000</v>
      </c>
      <c r="E7" s="4">
        <v>0.22</v>
      </c>
      <c r="F7" s="2">
        <v>4.4999999999999998E-2</v>
      </c>
      <c r="G7" s="3">
        <v>0.4</v>
      </c>
      <c r="H7">
        <v>0</v>
      </c>
    </row>
    <row r="8" spans="1:8" x14ac:dyDescent="0.55000000000000004">
      <c r="A8" t="s">
        <v>7</v>
      </c>
      <c r="B8" t="s">
        <v>8</v>
      </c>
      <c r="C8" s="6">
        <v>1000</v>
      </c>
      <c r="D8" s="5">
        <v>1000</v>
      </c>
      <c r="E8" s="4">
        <v>3.5000000000000003E-2</v>
      </c>
      <c r="F8" s="2">
        <v>1.4999999999999999E-2</v>
      </c>
      <c r="G8" s="3">
        <v>0.35</v>
      </c>
      <c r="H8">
        <v>0</v>
      </c>
    </row>
    <row r="9" spans="1:8" x14ac:dyDescent="0.55000000000000004">
      <c r="F9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62166-370A-4977-9539-E917D8643A64}">
  <dimension ref="A1:F8"/>
  <sheetViews>
    <sheetView workbookViewId="0">
      <selection activeCell="D12" sqref="D12"/>
    </sheetView>
  </sheetViews>
  <sheetFormatPr defaultRowHeight="14.4" x14ac:dyDescent="0.55000000000000004"/>
  <cols>
    <col min="2" max="2" width="9.9453125" bestFit="1" customWidth="1"/>
    <col min="4" max="4" width="17.05078125" bestFit="1" customWidth="1"/>
  </cols>
  <sheetData>
    <row r="1" spans="1:6" x14ac:dyDescent="0.55000000000000004">
      <c r="A1" t="s">
        <v>0</v>
      </c>
      <c r="B1" t="s">
        <v>14</v>
      </c>
      <c r="C1" t="s">
        <v>21</v>
      </c>
      <c r="D1" t="s">
        <v>22</v>
      </c>
      <c r="E1" t="s">
        <v>23</v>
      </c>
      <c r="F1" t="s">
        <v>24</v>
      </c>
    </row>
    <row r="2" spans="1:6" x14ac:dyDescent="0.55000000000000004">
      <c r="A2" t="s">
        <v>2</v>
      </c>
      <c r="B2" t="s">
        <v>8</v>
      </c>
      <c r="C2" s="6">
        <f>1000000</f>
        <v>1000000</v>
      </c>
      <c r="D2" s="5">
        <f>900000000</f>
        <v>900000000</v>
      </c>
      <c r="E2">
        <v>40</v>
      </c>
      <c r="F2" s="8">
        <f>D2/(C2*E2)</f>
        <v>22.5</v>
      </c>
    </row>
    <row r="3" spans="1:6" x14ac:dyDescent="0.55000000000000004">
      <c r="A3" t="s">
        <v>3</v>
      </c>
      <c r="B3" t="s">
        <v>8</v>
      </c>
      <c r="C3" s="6">
        <f t="shared" ref="C3:C8" si="0">1000000</f>
        <v>1000000</v>
      </c>
      <c r="D3" s="5">
        <f>1200000000</f>
        <v>1200000000</v>
      </c>
      <c r="E3">
        <v>40</v>
      </c>
      <c r="F3" s="8">
        <f t="shared" ref="F3:F8" si="1">D3/(C3*E3)</f>
        <v>30</v>
      </c>
    </row>
    <row r="4" spans="1:6" x14ac:dyDescent="0.55000000000000004">
      <c r="A4" t="s">
        <v>4</v>
      </c>
      <c r="B4" t="s">
        <v>8</v>
      </c>
      <c r="C4" s="6">
        <f t="shared" si="0"/>
        <v>1000000</v>
      </c>
      <c r="D4" s="5">
        <f>1100000000</f>
        <v>1100000000</v>
      </c>
      <c r="E4">
        <v>40</v>
      </c>
      <c r="F4" s="8">
        <f t="shared" si="1"/>
        <v>27.5</v>
      </c>
    </row>
    <row r="5" spans="1:6" x14ac:dyDescent="0.55000000000000004">
      <c r="A5" t="s">
        <v>9</v>
      </c>
      <c r="B5" t="s">
        <v>8</v>
      </c>
      <c r="C5" s="6">
        <f t="shared" si="0"/>
        <v>1000000</v>
      </c>
      <c r="D5" s="5">
        <f>1100000000</f>
        <v>1100000000</v>
      </c>
      <c r="E5">
        <v>40</v>
      </c>
      <c r="F5" s="8">
        <f t="shared" si="1"/>
        <v>27.5</v>
      </c>
    </row>
    <row r="6" spans="1:6" x14ac:dyDescent="0.55000000000000004">
      <c r="A6" t="s">
        <v>5</v>
      </c>
      <c r="B6" t="s">
        <v>8</v>
      </c>
      <c r="C6" s="6">
        <f t="shared" si="0"/>
        <v>1000000</v>
      </c>
      <c r="D6" s="5">
        <f>900000000</f>
        <v>900000000</v>
      </c>
      <c r="E6">
        <v>30</v>
      </c>
      <c r="F6" s="8">
        <f t="shared" si="1"/>
        <v>30</v>
      </c>
    </row>
    <row r="7" spans="1:6" x14ac:dyDescent="0.55000000000000004">
      <c r="A7" t="s">
        <v>6</v>
      </c>
      <c r="B7" t="s">
        <v>8</v>
      </c>
      <c r="C7" s="6">
        <f t="shared" si="0"/>
        <v>1000000</v>
      </c>
      <c r="D7" s="5">
        <f>1500000000</f>
        <v>1500000000</v>
      </c>
      <c r="E7">
        <v>30</v>
      </c>
      <c r="F7" s="8">
        <f t="shared" si="1"/>
        <v>50</v>
      </c>
    </row>
    <row r="8" spans="1:6" x14ac:dyDescent="0.55000000000000004">
      <c r="A8" t="s">
        <v>7</v>
      </c>
      <c r="B8" t="s">
        <v>8</v>
      </c>
      <c r="C8" s="6">
        <f t="shared" si="0"/>
        <v>1000000</v>
      </c>
      <c r="D8" s="5">
        <f>5500000000</f>
        <v>5500000000</v>
      </c>
      <c r="E8">
        <v>60</v>
      </c>
      <c r="F8" s="8">
        <f t="shared" si="1"/>
        <v>91.666666666666671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WaterSources</vt:lpstr>
      <vt:lpstr>PowerPlant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Yara Elborolosy</dc:creator>
  <cp:lastModifiedBy>Yara Elborolosy</cp:lastModifiedBy>
  <dcterms:created xsi:type="dcterms:W3CDTF">2025-05-11T07:30:34Z</dcterms:created>
  <dcterms:modified xsi:type="dcterms:W3CDTF">2026-05-13T08:13:22Z</dcterms:modified>
</cp:coreProperties>
</file>