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23\"/>
    </mc:Choice>
  </mc:AlternateContent>
  <xr:revisionPtr revIDLastSave="0" documentId="13_ncr:1_{844ECD36-1EED-4445-9B8C-F5D675BAC62A}" xr6:coauthVersionLast="47" xr6:coauthVersionMax="47" xr10:uidLastSave="{00000000-0000-0000-0000-000000000000}"/>
  <bookViews>
    <workbookView xWindow="-96" yWindow="-96" windowWidth="20928" windowHeight="12432" activeTab="1" xr2:uid="{D2885900-0951-456B-A4CD-98E6B97D82D9}"/>
  </bookViews>
  <sheets>
    <sheet name="Groundwater" sheetId="1" r:id="rId1"/>
    <sheet name="Desalination" sheetId="2" r:id="rId2"/>
    <sheet name="SurfaceWater" sheetId="3" r:id="rId3"/>
    <sheet name="TreatedW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4" i="2"/>
  <c r="B3" i="2"/>
  <c r="B2" i="4"/>
  <c r="B2" i="3" l="1"/>
  <c r="B2" i="1" l="1"/>
</calcChain>
</file>

<file path=xl/sharedStrings.xml><?xml version="1.0" encoding="utf-8"?>
<sst xmlns="http://schemas.openxmlformats.org/spreadsheetml/2006/main" count="27" uniqueCount="15">
  <si>
    <t>Area (ha)</t>
  </si>
  <si>
    <t>Capacity (m3)</t>
  </si>
  <si>
    <t>GWL (m)</t>
  </si>
  <si>
    <t>MSF</t>
  </si>
  <si>
    <t>MED</t>
  </si>
  <si>
    <t>RO</t>
  </si>
  <si>
    <t>DesalEff (%)</t>
  </si>
  <si>
    <t>Energy (kwh/m3)</t>
  </si>
  <si>
    <t>SaudiAquifers</t>
  </si>
  <si>
    <t>SaudiDams</t>
  </si>
  <si>
    <t>DamEff (%)</t>
  </si>
  <si>
    <t>Cost ($/m3)</t>
  </si>
  <si>
    <t>SaudiTWW</t>
  </si>
  <si>
    <t>TWWEff (%)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</si>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</sst>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wrapText="1"/>
    </xf>
    <xf numFmtId="3" fontId="0" fillId="0" borderId="0" xfId="0" applyNumberFormat="1"/>
    <xf numFmtId="3" fontId="0" fillId="0" borderId="0" xfId="0" applyNumberFormat="1" applyAlignment="1">
      <alignment horizontal="right" wrapText="1"/>
    </xf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13F7-28EE-4D33-B135-A478338561AD}">
  <dimension ref="A1:F2"/>
  <sheetViews>
    <sheetView workbookViewId="0">
      <selection activeCell="D2" sqref="D2"/>
    </sheetView>
  </sheetViews>
  <sheetFormatPr defaultRowHeight="14.4" x14ac:dyDescent="0.55000000000000004"/>
  <cols>
    <col min="1" max="1" width="11.41796875" bestFit="1" customWidth="1"/>
    <col min="2" max="2" width="15.83984375" bestFit="1" customWidth="1"/>
    <col min="3" max="3" width="7.47265625" bestFit="1" customWidth="1"/>
    <col min="4" max="4" width="7.68359375" bestFit="1" customWidth="1"/>
    <col min="5" max="5" width="10" bestFit="1" customWidth="1"/>
    <col min="6" max="6" width="13.7890625" bestFit="1" customWidth="1"/>
    <col min="7" max="7" width="5.734375" bestFit="1" customWidth="1"/>
  </cols>
  <sheetData>
    <row r="1" spans="1:6" x14ac:dyDescent="0.55000000000000004">
      <c r="A1" t="s">
        <v>14</v>
      </c>
      <c r="B1" t="s">
        <v>1</v>
      </c>
      <c r="C1" t="s">
        <v>2</v>
      </c>
      <c r="D1" t="s">
        <v>0</v>
      </c>
      <c r="E1" t="s">
        <v>11</v>
      </c>
      <c r="F1" t="s">
        <v>7</v>
      </c>
    </row>
    <row r="2" spans="1:6" x14ac:dyDescent="0.55000000000000004">
      <c r="A2" t="s">
        <v>8</v>
      </c>
      <c r="B2" s="2">
        <f>1716216000000</f>
        <v>1716216000000</v>
      </c>
      <c r="C2">
        <v>200</v>
      </c>
      <c r="D2">
        <v>105</v>
      </c>
      <c r="E2">
        <v>0.06</v>
      </c>
      <c r="F2">
        <v>0.76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2AD6-0046-4DED-BA6E-E7CFAE972DE5}">
  <dimension ref="A1:I8"/>
  <sheetViews>
    <sheetView tabSelected="1" workbookViewId="0">
      <selection activeCell="E3" sqref="E3"/>
    </sheetView>
  </sheetViews>
  <sheetFormatPr defaultRowHeight="14.4" x14ac:dyDescent="0.55000000000000004"/>
  <cols>
    <col min="1" max="1" width="12.5234375" bestFit="1" customWidth="1"/>
    <col min="2" max="2" width="13.3125" bestFit="1" customWidth="1"/>
    <col min="3" max="3" width="11.578125" customWidth="1"/>
    <col min="4" max="4" width="13.9453125" bestFit="1" customWidth="1"/>
    <col min="5" max="5" width="18.89453125" customWidth="1"/>
    <col min="8" max="8" width="9.68359375" bestFit="1" customWidth="1"/>
    <col min="9" max="9" width="12.26171875" bestFit="1" customWidth="1"/>
  </cols>
  <sheetData>
    <row r="1" spans="1:9" x14ac:dyDescent="0.55000000000000004">
      <c r="A1" t="s">
        <v>14</v>
      </c>
      <c r="B1" t="s">
        <v>1</v>
      </c>
      <c r="C1" t="s">
        <v>6</v>
      </c>
      <c r="D1" t="s">
        <v>11</v>
      </c>
      <c r="E1" t="s">
        <v>7</v>
      </c>
    </row>
    <row r="2" spans="1:9" x14ac:dyDescent="0.55000000000000004">
      <c r="A2" t="s">
        <v>5</v>
      </c>
      <c r="B2" s="3">
        <f>2552900000</f>
        <v>2552900000</v>
      </c>
      <c r="C2" s="1">
        <v>0.85</v>
      </c>
      <c r="D2">
        <v>0.92</v>
      </c>
      <c r="E2">
        <v>5</v>
      </c>
      <c r="I2" s="3"/>
    </row>
    <row r="3" spans="1:9" x14ac:dyDescent="0.55000000000000004">
      <c r="A3" t="s">
        <v>4</v>
      </c>
      <c r="B3" s="2">
        <f>460000000</f>
        <v>460000000</v>
      </c>
      <c r="C3" s="1">
        <v>0.85</v>
      </c>
      <c r="D3">
        <v>1.03</v>
      </c>
      <c r="E3">
        <v>8.75</v>
      </c>
      <c r="I3" s="2"/>
    </row>
    <row r="4" spans="1:9" x14ac:dyDescent="0.55000000000000004">
      <c r="A4" t="s">
        <v>3</v>
      </c>
      <c r="B4" s="2">
        <f>1910000000</f>
        <v>1910000000</v>
      </c>
      <c r="C4" s="1">
        <v>0.85</v>
      </c>
      <c r="D4">
        <v>0.78</v>
      </c>
      <c r="E4">
        <v>19.5</v>
      </c>
      <c r="I4" s="2"/>
    </row>
    <row r="6" spans="1:9" x14ac:dyDescent="0.55000000000000004">
      <c r="B6" s="2"/>
    </row>
    <row r="7" spans="1:9" x14ac:dyDescent="0.55000000000000004">
      <c r="B7" s="2"/>
      <c r="C7" s="5"/>
    </row>
    <row r="8" spans="1:9" x14ac:dyDescent="0.55000000000000004">
      <c r="B8" s="2"/>
      <c r="C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DBA7-D4A3-4F29-8689-1EF7A1C09E6B}">
  <dimension ref="A1:E2"/>
  <sheetViews>
    <sheetView workbookViewId="0">
      <selection activeCell="E3" sqref="E3"/>
    </sheetView>
  </sheetViews>
  <sheetFormatPr defaultRowHeight="14.4" x14ac:dyDescent="0.55000000000000004"/>
  <cols>
    <col min="1" max="1" width="9.68359375" customWidth="1"/>
    <col min="2" max="2" width="13.3125" bestFit="1" customWidth="1"/>
    <col min="3" max="3" width="10.68359375" bestFit="1" customWidth="1"/>
    <col min="4" max="4" width="10" bestFit="1" customWidth="1"/>
    <col min="5" max="5" width="13.7890625" bestFit="1" customWidth="1"/>
    <col min="8" max="8" width="10.68359375" bestFit="1" customWidth="1"/>
  </cols>
  <sheetData>
    <row r="1" spans="1:5" x14ac:dyDescent="0.55000000000000004">
      <c r="A1" t="s">
        <v>14</v>
      </c>
      <c r="B1" t="s">
        <v>1</v>
      </c>
      <c r="C1" t="s">
        <v>10</v>
      </c>
      <c r="D1" t="s">
        <v>11</v>
      </c>
      <c r="E1" t="s">
        <v>7</v>
      </c>
    </row>
    <row r="2" spans="1:5" x14ac:dyDescent="0.55000000000000004">
      <c r="A2" t="s">
        <v>9</v>
      </c>
      <c r="B2" s="2">
        <f>2460000000</f>
        <v>2460000000</v>
      </c>
      <c r="C2">
        <v>0.42499999999999999</v>
      </c>
      <c r="D2">
        <v>0.27</v>
      </c>
      <c r="E2">
        <v>0.52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DFC2-F9BE-4B7E-B815-AF08D9445DFD}">
  <dimension ref="A1:E2"/>
  <sheetViews>
    <sheetView workbookViewId="0">
      <selection activeCell="D7" sqref="D7"/>
    </sheetView>
  </sheetViews>
  <sheetFormatPr defaultRowHeight="14.4" x14ac:dyDescent="0.55000000000000004"/>
  <cols>
    <col min="1" max="1" width="12.5234375" bestFit="1" customWidth="1"/>
    <col min="2" max="2" width="13.62890625" customWidth="1"/>
    <col min="3" max="3" width="10.47265625" customWidth="1"/>
    <col min="4" max="4" width="11.62890625" customWidth="1"/>
    <col min="5" max="5" width="13.7890625" bestFit="1" customWidth="1"/>
  </cols>
  <sheetData>
    <row r="1" spans="1:5" x14ac:dyDescent="0.55000000000000004">
      <c r="A1" t="s">
        <v>14</v>
      </c>
      <c r="B1" t="s">
        <v>1</v>
      </c>
      <c r="C1" t="s">
        <v>13</v>
      </c>
      <c r="D1" t="s">
        <v>11</v>
      </c>
      <c r="E1" t="s">
        <v>7</v>
      </c>
    </row>
    <row r="2" spans="1:5" x14ac:dyDescent="0.55000000000000004">
      <c r="A2" t="s">
        <v>12</v>
      </c>
      <c r="B2" s="2">
        <f>2830000000</f>
        <v>2830000000</v>
      </c>
      <c r="C2">
        <v>0.185</v>
      </c>
      <c r="D2">
        <v>0.5</v>
      </c>
      <c r="E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Groundwater</vt:lpstr>
      <vt:lpstr>Desalination</vt:lpstr>
      <vt:lpstr>SurfaceWater</vt:lpstr>
      <vt:lpstr>TreatedWW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2025-04-16T08:48:39Z</dcterms:created>
  <dcterms:modified xsi:type="dcterms:W3CDTF">2026-05-16T19:28:09Z</dcterms:modified>
</cp:coreProperties>
</file>