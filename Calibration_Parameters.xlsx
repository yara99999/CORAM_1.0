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"/>
    </mc:Choice>
  </mc:AlternateContent>
  <xr:revisionPtr revIDLastSave="0" documentId="13_ncr:1_{408852AB-42C2-4D03-879D-23F4C9596CAE}" xr6:coauthVersionLast="47" xr6:coauthVersionMax="47" xr10:uidLastSave="{00000000-0000-0000-0000-000000000000}"/>
  <bookViews>
    <workbookView xWindow="-96" yWindow="-96" windowWidth="20928" windowHeight="12432" activeTab="2" xr2:uid="{9FFE7A77-BD8C-4A58-89A7-EE7C10CD7042}"/>
  </bookViews>
  <sheets>
    <sheet name="Dom_2023" sheetId="8" r:id="rId1"/>
    <sheet name="Imp_2023" sheetId="9" r:id="rId2"/>
    <sheet name="Water_2023" sheetId="10" r:id="rId3"/>
    <sheet name="Water" sheetId="1" r:id="rId4"/>
    <sheet name="Import" sheetId="2" r:id="rId5"/>
    <sheet name="Domestic" sheetId="3" r:id="rId6"/>
    <sheet name="oldwater" sheetId="5" r:id="rId7"/>
    <sheet name="Domestic (2)" sheetId="6" r:id="rId8"/>
    <sheet name="Import (2)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3" i="10"/>
  <c r="B6" i="10"/>
  <c r="B8" i="10"/>
  <c r="E23" i="8" l="1"/>
  <c r="B23" i="8" s="1"/>
  <c r="E24" i="8"/>
  <c r="B24" i="8" s="1"/>
  <c r="B24" i="9"/>
  <c r="C24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B2" i="9" s="1"/>
  <c r="B9" i="10"/>
  <c r="B2" i="10" l="1"/>
  <c r="B5" i="10"/>
  <c r="B4" i="10"/>
  <c r="G12" i="8" l="1"/>
  <c r="N3" i="8"/>
  <c r="M3" i="8" s="1"/>
  <c r="N4" i="8"/>
  <c r="M4" i="8" s="1"/>
  <c r="N5" i="8"/>
  <c r="M5" i="8" s="1"/>
  <c r="N6" i="8"/>
  <c r="M6" i="8" s="1"/>
  <c r="N7" i="8"/>
  <c r="M7" i="8" s="1"/>
  <c r="N8" i="8"/>
  <c r="M8" i="8" s="1"/>
  <c r="N9" i="8"/>
  <c r="M9" i="8" s="1"/>
  <c r="N10" i="8"/>
  <c r="M10" i="8" s="1"/>
  <c r="N11" i="8"/>
  <c r="M11" i="8" s="1"/>
  <c r="N12" i="8"/>
  <c r="M12" i="8" s="1"/>
  <c r="N13" i="8"/>
  <c r="M13" i="8" s="1"/>
  <c r="N14" i="8"/>
  <c r="M14" i="8" s="1"/>
  <c r="N15" i="8"/>
  <c r="M15" i="8" s="1"/>
  <c r="N16" i="8"/>
  <c r="M16" i="8" s="1"/>
  <c r="N17" i="8"/>
  <c r="M17" i="8" s="1"/>
  <c r="N18" i="8"/>
  <c r="M18" i="8" s="1"/>
  <c r="N19" i="8"/>
  <c r="M19" i="8" s="1"/>
  <c r="N20" i="8"/>
  <c r="M20" i="8" s="1"/>
  <c r="N21" i="8"/>
  <c r="M21" i="8" s="1"/>
  <c r="N22" i="8"/>
  <c r="M22" i="8" s="1"/>
  <c r="N2" i="8"/>
  <c r="M2" i="8" s="1"/>
  <c r="AG3" i="8"/>
  <c r="AH3" i="8" s="1"/>
  <c r="AG4" i="8"/>
  <c r="AH4" i="8" s="1"/>
  <c r="AG5" i="8"/>
  <c r="AH5" i="8" s="1"/>
  <c r="AG6" i="8"/>
  <c r="AH6" i="8" s="1"/>
  <c r="AG7" i="8"/>
  <c r="AH7" i="8" s="1"/>
  <c r="AG8" i="8"/>
  <c r="AH8" i="8" s="1"/>
  <c r="AG9" i="8"/>
  <c r="AH9" i="8" s="1"/>
  <c r="AG10" i="8"/>
  <c r="AH10" i="8" s="1"/>
  <c r="AG11" i="8"/>
  <c r="AH11" i="8" s="1"/>
  <c r="AG12" i="8"/>
  <c r="AH12" i="8" s="1"/>
  <c r="AG13" i="8"/>
  <c r="AH13" i="8" s="1"/>
  <c r="AG14" i="8"/>
  <c r="AH14" i="8" s="1"/>
  <c r="AG15" i="8"/>
  <c r="AH15" i="8" s="1"/>
  <c r="AG16" i="8"/>
  <c r="AH16" i="8" s="1"/>
  <c r="AG17" i="8"/>
  <c r="AH17" i="8" s="1"/>
  <c r="AG18" i="8"/>
  <c r="AH18" i="8" s="1"/>
  <c r="AG19" i="8"/>
  <c r="AH19" i="8" s="1"/>
  <c r="AG20" i="8"/>
  <c r="AH20" i="8" s="1"/>
  <c r="AG21" i="8"/>
  <c r="AH21" i="8" s="1"/>
  <c r="AG22" i="8"/>
  <c r="AH22" i="8" s="1"/>
  <c r="AG2" i="8"/>
  <c r="AH2" i="8" s="1"/>
  <c r="O3" i="10"/>
  <c r="O4" i="10"/>
  <c r="O5" i="10"/>
  <c r="O2" i="10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" i="9"/>
  <c r="S2" i="9" s="1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B3" i="8"/>
  <c r="AB2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" i="9"/>
  <c r="K3" i="10"/>
  <c r="K4" i="10"/>
  <c r="K5" i="10"/>
  <c r="K2" i="10"/>
  <c r="L3" i="9"/>
  <c r="M3" i="9" s="1"/>
  <c r="L4" i="9"/>
  <c r="M4" i="9" s="1"/>
  <c r="L5" i="9"/>
  <c r="M5" i="9" s="1"/>
  <c r="L6" i="9"/>
  <c r="M6" i="9" s="1"/>
  <c r="L7" i="9"/>
  <c r="M7" i="9" s="1"/>
  <c r="L8" i="9"/>
  <c r="M8" i="9" s="1"/>
  <c r="L9" i="9"/>
  <c r="M9" i="9" s="1"/>
  <c r="L10" i="9"/>
  <c r="M10" i="9" s="1"/>
  <c r="L11" i="9"/>
  <c r="M11" i="9" s="1"/>
  <c r="L12" i="9"/>
  <c r="M12" i="9" s="1"/>
  <c r="L13" i="9"/>
  <c r="M13" i="9" s="1"/>
  <c r="L14" i="9"/>
  <c r="M14" i="9" s="1"/>
  <c r="L15" i="9"/>
  <c r="M15" i="9" s="1"/>
  <c r="L16" i="9"/>
  <c r="M16" i="9" s="1"/>
  <c r="L17" i="9"/>
  <c r="M17" i="9" s="1"/>
  <c r="L18" i="9"/>
  <c r="M18" i="9" s="1"/>
  <c r="L19" i="9"/>
  <c r="M19" i="9" s="1"/>
  <c r="L20" i="9"/>
  <c r="M20" i="9" s="1"/>
  <c r="L21" i="9"/>
  <c r="M21" i="9" s="1"/>
  <c r="L22" i="9"/>
  <c r="M22" i="9" s="1"/>
  <c r="L23" i="9"/>
  <c r="M23" i="9" s="1"/>
  <c r="L2" i="9"/>
  <c r="M2" i="9" s="1"/>
  <c r="W3" i="8" l="1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E3" i="8"/>
  <c r="B3" i="8" s="1"/>
  <c r="E4" i="8"/>
  <c r="B4" i="8" s="1"/>
  <c r="E5" i="8"/>
  <c r="B5" i="8" s="1"/>
  <c r="E6" i="8"/>
  <c r="B6" i="8" s="1"/>
  <c r="E7" i="8"/>
  <c r="B7" i="8" s="1"/>
  <c r="E8" i="8"/>
  <c r="B8" i="8" s="1"/>
  <c r="E9" i="8"/>
  <c r="B9" i="8" s="1"/>
  <c r="E10" i="8"/>
  <c r="B10" i="8" s="1"/>
  <c r="E11" i="8"/>
  <c r="B11" i="8" s="1"/>
  <c r="E12" i="8"/>
  <c r="B12" i="8" s="1"/>
  <c r="E13" i="8"/>
  <c r="B13" i="8" s="1"/>
  <c r="E14" i="8"/>
  <c r="B14" i="8" s="1"/>
  <c r="E15" i="8"/>
  <c r="B15" i="8" s="1"/>
  <c r="E16" i="8"/>
  <c r="B16" i="8" s="1"/>
  <c r="E17" i="8"/>
  <c r="B17" i="8" s="1"/>
  <c r="E18" i="8"/>
  <c r="B18" i="8" s="1"/>
  <c r="E19" i="8"/>
  <c r="B19" i="8" s="1"/>
  <c r="E20" i="8"/>
  <c r="B20" i="8" s="1"/>
  <c r="E21" i="8"/>
  <c r="B21" i="8" s="1"/>
  <c r="E22" i="8"/>
  <c r="B22" i="8" s="1"/>
  <c r="E2" i="8"/>
  <c r="B2" i="8" s="1"/>
  <c r="B8" i="1"/>
  <c r="B7" i="1"/>
  <c r="B6" i="1"/>
  <c r="B3" i="1"/>
  <c r="B4" i="1"/>
  <c r="B5" i="1"/>
  <c r="B2" i="1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N7" i="5"/>
  <c r="N6" i="5"/>
  <c r="N5" i="5"/>
  <c r="K5" i="5"/>
  <c r="N4" i="5"/>
  <c r="K4" i="5"/>
  <c r="C11" i="5"/>
  <c r="C10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3"/>
</calcChain>
</file>

<file path=xl/sharedStrings.xml><?xml version="1.0" encoding="utf-8"?>
<sst xmlns="http://schemas.openxmlformats.org/spreadsheetml/2006/main" count="396" uniqueCount="121">
  <si>
    <t>Wheat</t>
  </si>
  <si>
    <t>Barley</t>
  </si>
  <si>
    <t>MaizeFeed</t>
  </si>
  <si>
    <t>MaizeFood</t>
  </si>
  <si>
    <t>Sorghum and Millet</t>
  </si>
  <si>
    <t>Rice</t>
  </si>
  <si>
    <t>Other Cereals</t>
  </si>
  <si>
    <t>Potatoes</t>
  </si>
  <si>
    <t>Pulses</t>
  </si>
  <si>
    <t>Lentils</t>
  </si>
  <si>
    <t>Chick-Peas</t>
  </si>
  <si>
    <t>Dry Broad Beans</t>
  </si>
  <si>
    <t>Tomatoes</t>
  </si>
  <si>
    <t>Green Beans</t>
  </si>
  <si>
    <t>Watermelons and melons</t>
  </si>
  <si>
    <t>Cucumbers and Gherkins</t>
  </si>
  <si>
    <t>Other Vegetables</t>
  </si>
  <si>
    <t>Dates</t>
  </si>
  <si>
    <t>Orange and Mandarin</t>
  </si>
  <si>
    <t>Lemons</t>
  </si>
  <si>
    <t>Banana</t>
  </si>
  <si>
    <t>Apple</t>
  </si>
  <si>
    <t>Grapes</t>
  </si>
  <si>
    <t>Mangoes</t>
  </si>
  <si>
    <t>Other Fruit</t>
  </si>
  <si>
    <t>Animal Fodder</t>
  </si>
  <si>
    <t>Crop</t>
  </si>
  <si>
    <t>Dual</t>
  </si>
  <si>
    <t>Carrots</t>
  </si>
  <si>
    <t>Citrus</t>
  </si>
  <si>
    <t>Dry Onion</t>
  </si>
  <si>
    <t>Eggplant</t>
  </si>
  <si>
    <t>Green Fodders</t>
  </si>
  <si>
    <t>Melons and Canteloupes</t>
  </si>
  <si>
    <t>Okra</t>
  </si>
  <si>
    <t>Sesame Seed</t>
  </si>
  <si>
    <t>Watermelons</t>
  </si>
  <si>
    <t>Groundwater</t>
  </si>
  <si>
    <t>Desalination</t>
  </si>
  <si>
    <t>TreatedWW</t>
  </si>
  <si>
    <t>SurfaceWater</t>
  </si>
  <si>
    <t>Source</t>
  </si>
  <si>
    <t>*originally neg</t>
  </si>
  <si>
    <t>original</t>
  </si>
  <si>
    <t>Origi</t>
  </si>
  <si>
    <t>Desalination_Domestic</t>
  </si>
  <si>
    <t>Desalination_Industry</t>
  </si>
  <si>
    <t>Dual prices for historical production constraints</t>
  </si>
  <si>
    <t>Dual price for desalination minimum constraint (Domestic)</t>
  </si>
  <si>
    <t>Dual price for desalination minimum constraint (Industry)</t>
  </si>
  <si>
    <t>Desalination_Agriculture</t>
  </si>
  <si>
    <t>Alfalfa</t>
  </si>
  <si>
    <t>Millet</t>
  </si>
  <si>
    <t>Other Grain</t>
  </si>
  <si>
    <t>Sesame</t>
  </si>
  <si>
    <t>Sorghum</t>
  </si>
  <si>
    <t>Alfalfa:</t>
  </si>
  <si>
    <t>m³/ha/year</t>
  </si>
  <si>
    <t>Citrus:</t>
  </si>
  <si>
    <t>Cucumbers</t>
  </si>
  <si>
    <t>Dates:</t>
  </si>
  <si>
    <t>Dry</t>
  </si>
  <si>
    <t>Eggplant:</t>
  </si>
  <si>
    <t>Grapes:</t>
  </si>
  <si>
    <t>MaizeFeed:</t>
  </si>
  <si>
    <t>MaizeFood:</t>
  </si>
  <si>
    <t>Melons</t>
  </si>
  <si>
    <t>Millet:</t>
  </si>
  <si>
    <t>Okra:</t>
  </si>
  <si>
    <t>Other</t>
  </si>
  <si>
    <t>Potatoes:</t>
  </si>
  <si>
    <t>Sesame:</t>
  </si>
  <si>
    <t>Sorghum:</t>
  </si>
  <si>
    <t>Tomatoes:</t>
  </si>
  <si>
    <t>Watermelons:</t>
  </si>
  <si>
    <t>Wheat:</t>
  </si>
  <si>
    <t xml:space="preserve">Alfalfa: dual </t>
  </si>
  <si>
    <t xml:space="preserve">Citrus: dual </t>
  </si>
  <si>
    <t xml:space="preserve">Cucumbers and Gherkins: dual </t>
  </si>
  <si>
    <t xml:space="preserve">Dates: dual </t>
  </si>
  <si>
    <t xml:space="preserve">Dry Onion: dual </t>
  </si>
  <si>
    <t xml:space="preserve">Eggplant: dual </t>
  </si>
  <si>
    <t xml:space="preserve">Grapes: dual </t>
  </si>
  <si>
    <t xml:space="preserve">MaizeFeed: dual </t>
  </si>
  <si>
    <t xml:space="preserve">MaizeFood: dual </t>
  </si>
  <si>
    <t xml:space="preserve">Melons and Canteloupes: dual </t>
  </si>
  <si>
    <t xml:space="preserve">Millet: dual </t>
  </si>
  <si>
    <t xml:space="preserve">Okra: dual </t>
  </si>
  <si>
    <t xml:space="preserve">Other Fruit: dual </t>
  </si>
  <si>
    <t xml:space="preserve">Other Grain: dual </t>
  </si>
  <si>
    <t xml:space="preserve">Other Vegetables: dual </t>
  </si>
  <si>
    <t xml:space="preserve">Potatoes: dual </t>
  </si>
  <si>
    <t xml:space="preserve">Sesame: dual </t>
  </si>
  <si>
    <t xml:space="preserve">Sorghum: dual </t>
  </si>
  <si>
    <t xml:space="preserve">Tomatoes: dual </t>
  </si>
  <si>
    <t xml:space="preserve">Watermelons: dual </t>
  </si>
  <si>
    <t xml:space="preserve">Wheat: dual </t>
  </si>
  <si>
    <t xml:space="preserve"> Dual </t>
  </si>
  <si>
    <t xml:space="preserve"> dual </t>
  </si>
  <si>
    <t xml:space="preserve">Groundwater: Dual </t>
  </si>
  <si>
    <t xml:space="preserve">Desalination: Dual </t>
  </si>
  <si>
    <t xml:space="preserve">TreatedWW: Dual </t>
  </si>
  <si>
    <t xml:space="preserve">SurfaceWater: Dual </t>
  </si>
  <si>
    <t>scale</t>
  </si>
  <si>
    <t>Domestic_Desalination_Min</t>
  </si>
  <si>
    <t xml:space="preserve">Shadow price (dual) for minimum domestic desal share constraint: </t>
  </si>
  <si>
    <t>Total_Desalination_Min</t>
  </si>
  <si>
    <t xml:space="preserve">Shadow price (dual) for minimum desalination share constraint: </t>
  </si>
  <si>
    <t>TreatedWW_Min</t>
  </si>
  <si>
    <t xml:space="preserve">Shadow price (dual) for minimum treated wastewater share constraint: </t>
  </si>
  <si>
    <t>SurfaceWater_Min</t>
  </si>
  <si>
    <t>SurfaceWater_Max</t>
  </si>
  <si>
    <t>TreatedWW_Share_Max</t>
  </si>
  <si>
    <t>Cucumber</t>
  </si>
  <si>
    <t>Fodder</t>
  </si>
  <si>
    <t>Mango</t>
  </si>
  <si>
    <t>Olive</t>
  </si>
  <si>
    <t>Other Grains</t>
  </si>
  <si>
    <t>Pomegranate</t>
  </si>
  <si>
    <t>Watermelon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</si>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</sst>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10" fontId="0" fillId="0" borderId="0" xfId="2" applyNumberFormat="1" applyFont="1"/>
    <xf numFmtId="2" fontId="0" fillId="0" borderId="0" xfId="2" applyNumberFormat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BF56-44C1-4AA8-8F3A-55A40CCAD034}">
  <dimension ref="A1:AH25"/>
  <sheetViews>
    <sheetView zoomScale="80" zoomScaleNormal="80" workbookViewId="0">
      <selection activeCell="A7" sqref="A7"/>
    </sheetView>
  </sheetViews>
  <sheetFormatPr defaultRowHeight="14.4" x14ac:dyDescent="0.55000000000000004"/>
  <cols>
    <col min="2" max="2" width="14.5234375" bestFit="1" customWidth="1"/>
    <col min="3" max="3" width="8.89453125" bestFit="1" customWidth="1"/>
    <col min="9" max="9" width="8.89453125" bestFit="1" customWidth="1"/>
    <col min="15" max="16" width="8.89453125" bestFit="1" customWidth="1"/>
    <col min="20" max="21" width="8.89453125" bestFit="1" customWidth="1"/>
    <col min="25" max="25" width="12.26171875" bestFit="1" customWidth="1"/>
    <col min="26" max="26" width="11.89453125" bestFit="1" customWidth="1"/>
  </cols>
  <sheetData>
    <row r="1" spans="1:34" x14ac:dyDescent="0.55000000000000004">
      <c r="A1" t="s">
        <v>26</v>
      </c>
      <c r="B1" t="s">
        <v>27</v>
      </c>
      <c r="C1" t="s">
        <v>103</v>
      </c>
    </row>
    <row r="2" spans="1:34" x14ac:dyDescent="0.55000000000000004">
      <c r="A2" t="s">
        <v>20</v>
      </c>
      <c r="B2" s="1">
        <f>E2*C2</f>
        <v>73916.106758051203</v>
      </c>
      <c r="C2">
        <v>10</v>
      </c>
      <c r="D2">
        <v>-7391.6106758051201</v>
      </c>
      <c r="E2" s="1">
        <f>ABS(D2)</f>
        <v>7391.6106758051201</v>
      </c>
      <c r="F2" s="1"/>
      <c r="G2">
        <v>1.3243638066646595</v>
      </c>
      <c r="H2">
        <v>1.0974822262658932</v>
      </c>
      <c r="I2">
        <v>1.0256704170158149</v>
      </c>
      <c r="J2">
        <v>1.0472990019011739</v>
      </c>
      <c r="K2">
        <v>1.0694075571828743</v>
      </c>
      <c r="L2">
        <v>1.0343304968086739</v>
      </c>
      <c r="M2">
        <f>IF(O2&lt;1,(1/O2)^2,O2^2)*N2</f>
        <v>1.198684367026988</v>
      </c>
      <c r="N2">
        <f>IF(P2&lt;1,(1/P2),P2)</f>
        <v>1.0543625214128898</v>
      </c>
      <c r="O2">
        <v>0.93786981679404224</v>
      </c>
      <c r="P2">
        <v>0.94844038904186223</v>
      </c>
      <c r="Q2" t="s">
        <v>56</v>
      </c>
      <c r="R2">
        <v>0.33</v>
      </c>
      <c r="S2" t="s">
        <v>57</v>
      </c>
      <c r="U2" t="s">
        <v>76</v>
      </c>
      <c r="V2">
        <v>-17116.4909971938</v>
      </c>
      <c r="W2">
        <f>ABS(V2)</f>
        <v>17116.4909971938</v>
      </c>
      <c r="Z2" t="s">
        <v>51</v>
      </c>
      <c r="AA2">
        <v>-32967.238904393598</v>
      </c>
      <c r="AB2">
        <f>ABS(AA2)</f>
        <v>32967.238904393598</v>
      </c>
      <c r="AD2" t="s">
        <v>51</v>
      </c>
      <c r="AE2" t="s">
        <v>98</v>
      </c>
      <c r="AF2">
        <v>-47559746615.683899</v>
      </c>
      <c r="AG2">
        <f>ABS(AF2)</f>
        <v>47559746615.683899</v>
      </c>
      <c r="AH2">
        <f>AG2/20000000</f>
        <v>2377.9873307841949</v>
      </c>
    </row>
    <row r="3" spans="1:34" x14ac:dyDescent="0.55000000000000004">
      <c r="A3" t="s">
        <v>29</v>
      </c>
      <c r="B3" s="1">
        <f t="shared" ref="B3:B24" si="0">E3*C3</f>
        <v>6735.6461812023699</v>
      </c>
      <c r="C3">
        <v>1</v>
      </c>
      <c r="D3">
        <v>-6735.6461812023699</v>
      </c>
      <c r="E3" s="1">
        <f t="shared" ref="E3:E24" si="1">ABS(D3)</f>
        <v>6735.6461812023699</v>
      </c>
      <c r="F3" s="1"/>
      <c r="G3">
        <v>1.1816642097730208</v>
      </c>
      <c r="H3">
        <v>1.4052983072309864</v>
      </c>
      <c r="I3">
        <v>5.5187108870635342</v>
      </c>
      <c r="J3">
        <v>1.4830386155836395</v>
      </c>
      <c r="K3">
        <v>1.5367050902950554</v>
      </c>
      <c r="L3">
        <v>1.3847027224063051</v>
      </c>
      <c r="M3">
        <f t="shared" ref="M3:M22" si="2">IF(O3&lt;1,(1/O3)^2,O3^2)*N3</f>
        <v>5.3900351198000012</v>
      </c>
      <c r="N3">
        <f t="shared" ref="N3:N22" si="3">IF(P3&lt;1,(1/P3),P3)</f>
        <v>2.179261529616336</v>
      </c>
      <c r="O3">
        <v>1.5726827429148849</v>
      </c>
      <c r="P3">
        <v>2.179261529616336</v>
      </c>
      <c r="Q3" t="s">
        <v>58</v>
      </c>
      <c r="R3">
        <v>1.63</v>
      </c>
      <c r="S3" t="s">
        <v>57</v>
      </c>
      <c r="U3" t="s">
        <v>77</v>
      </c>
      <c r="V3">
        <v>-19681.208429018199</v>
      </c>
      <c r="W3">
        <f t="shared" ref="W3:W22" si="4">ABS(V3)</f>
        <v>19681.208429018199</v>
      </c>
      <c r="Z3" t="s">
        <v>29</v>
      </c>
      <c r="AA3">
        <v>21773.123921689501</v>
      </c>
      <c r="AB3">
        <f t="shared" ref="AB3:AB22" si="5">ABS(AA3)</f>
        <v>21773.123921689501</v>
      </c>
      <c r="AD3" t="s">
        <v>29</v>
      </c>
      <c r="AE3" t="s">
        <v>98</v>
      </c>
      <c r="AF3">
        <v>-47559767364.691002</v>
      </c>
      <c r="AG3">
        <f t="shared" ref="AG3:AG22" si="6">ABS(AF3)</f>
        <v>47559767364.691002</v>
      </c>
      <c r="AH3">
        <f t="shared" ref="AH3:AH22" si="7">AG3/20000000</f>
        <v>2377.9883682345503</v>
      </c>
    </row>
    <row r="4" spans="1:34" x14ac:dyDescent="0.55000000000000004">
      <c r="A4" t="s">
        <v>113</v>
      </c>
      <c r="B4" s="1">
        <f t="shared" si="0"/>
        <v>69459.900136847704</v>
      </c>
      <c r="C4">
        <v>10</v>
      </c>
      <c r="D4">
        <v>-6945.99001368477</v>
      </c>
      <c r="E4" s="1">
        <f t="shared" si="1"/>
        <v>6945.99001368477</v>
      </c>
      <c r="F4" s="1"/>
      <c r="G4">
        <v>5</v>
      </c>
      <c r="H4">
        <v>1.0469048893577475</v>
      </c>
      <c r="I4">
        <v>2.2575354415166538</v>
      </c>
      <c r="J4">
        <v>2.2575354415166538</v>
      </c>
      <c r="K4">
        <v>1.1350380191633791</v>
      </c>
      <c r="L4">
        <v>1.0886648730522031</v>
      </c>
      <c r="M4">
        <f t="shared" si="2"/>
        <v>3.3349295819465086</v>
      </c>
      <c r="N4">
        <f t="shared" si="3"/>
        <v>2.0446913600093501</v>
      </c>
      <c r="O4">
        <v>1.2771133747182537</v>
      </c>
      <c r="P4">
        <v>2.0446913600093501</v>
      </c>
      <c r="Q4" t="s">
        <v>59</v>
      </c>
      <c r="R4">
        <v>0.66</v>
      </c>
      <c r="S4" t="s">
        <v>57</v>
      </c>
      <c r="U4" t="s">
        <v>78</v>
      </c>
      <c r="V4">
        <v>-17829.199473618701</v>
      </c>
      <c r="W4">
        <f t="shared" si="4"/>
        <v>17829.199473618701</v>
      </c>
      <c r="Z4" t="s">
        <v>15</v>
      </c>
      <c r="AA4">
        <v>-19097.442641424299</v>
      </c>
      <c r="AB4">
        <f t="shared" si="5"/>
        <v>19097.442641424299</v>
      </c>
      <c r="AD4" t="s">
        <v>15</v>
      </c>
      <c r="AE4" t="s">
        <v>98</v>
      </c>
      <c r="AF4">
        <v>-47559752391.880699</v>
      </c>
      <c r="AG4">
        <f t="shared" si="6"/>
        <v>47559752391.880699</v>
      </c>
      <c r="AH4">
        <f t="shared" si="7"/>
        <v>2377.9876195940351</v>
      </c>
    </row>
    <row r="5" spans="1:34" x14ac:dyDescent="0.55000000000000004">
      <c r="A5" t="s">
        <v>17</v>
      </c>
      <c r="B5" s="1">
        <f t="shared" si="0"/>
        <v>7931.9275006677199</v>
      </c>
      <c r="C5">
        <v>1</v>
      </c>
      <c r="D5">
        <v>-7931.9275006677199</v>
      </c>
      <c r="E5" s="1">
        <f t="shared" si="1"/>
        <v>7931.9275006677199</v>
      </c>
      <c r="F5" s="1"/>
      <c r="G5">
        <v>1.209584803752475</v>
      </c>
      <c r="H5">
        <v>1.1885056859153773</v>
      </c>
      <c r="I5">
        <v>1.0947535092150193</v>
      </c>
      <c r="J5">
        <v>1.2313736042647612</v>
      </c>
      <c r="K5">
        <v>1.3289313941506606</v>
      </c>
      <c r="L5">
        <v>1.5517637353077618</v>
      </c>
      <c r="M5">
        <f t="shared" si="2"/>
        <v>3.5122275848074476</v>
      </c>
      <c r="N5">
        <f t="shared" si="3"/>
        <v>1.381064480222286</v>
      </c>
      <c r="O5">
        <v>1.5947196547029967</v>
      </c>
      <c r="P5">
        <v>1.381064480222286</v>
      </c>
      <c r="Q5" t="s">
        <v>60</v>
      </c>
      <c r="R5">
        <v>2.11</v>
      </c>
      <c r="S5" t="s">
        <v>57</v>
      </c>
      <c r="U5" t="s">
        <v>79</v>
      </c>
      <c r="V5">
        <v>-25526.863694817101</v>
      </c>
      <c r="W5">
        <f t="shared" si="4"/>
        <v>25526.863694817101</v>
      </c>
      <c r="Z5" t="s">
        <v>17</v>
      </c>
      <c r="AA5">
        <v>41971.599007702498</v>
      </c>
      <c r="AB5">
        <f t="shared" si="5"/>
        <v>41971.599007702498</v>
      </c>
      <c r="AD5" t="s">
        <v>17</v>
      </c>
      <c r="AE5" t="s">
        <v>98</v>
      </c>
      <c r="AF5">
        <v>-47559813890.565598</v>
      </c>
      <c r="AG5">
        <f t="shared" si="6"/>
        <v>47559813890.565598</v>
      </c>
      <c r="AH5">
        <f t="shared" si="7"/>
        <v>2377.9906945282801</v>
      </c>
    </row>
    <row r="6" spans="1:34" x14ac:dyDescent="0.55000000000000004">
      <c r="A6" t="s">
        <v>30</v>
      </c>
      <c r="B6" s="1">
        <f t="shared" si="0"/>
        <v>66129.994038621691</v>
      </c>
      <c r="C6">
        <v>10</v>
      </c>
      <c r="D6">
        <v>-6612.9994038621699</v>
      </c>
      <c r="E6" s="1">
        <f t="shared" si="1"/>
        <v>6612.9994038621699</v>
      </c>
      <c r="F6" s="1"/>
      <c r="G6">
        <v>1.2594756038819868</v>
      </c>
      <c r="H6">
        <v>1.0609810469056025</v>
      </c>
      <c r="I6">
        <v>1.8031679969869749</v>
      </c>
      <c r="J6">
        <v>2.0809255442927803</v>
      </c>
      <c r="K6">
        <v>1.6462913854806713</v>
      </c>
      <c r="L6">
        <v>1.2419874544663645</v>
      </c>
      <c r="M6">
        <f t="shared" si="2"/>
        <v>4.6925009169873189</v>
      </c>
      <c r="N6">
        <f t="shared" si="3"/>
        <v>2.1829111496862184</v>
      </c>
      <c r="O6">
        <v>1.4661694077291445</v>
      </c>
      <c r="P6">
        <v>2.1829111496862184</v>
      </c>
      <c r="Q6" t="s">
        <v>61</v>
      </c>
      <c r="R6">
        <v>0.89</v>
      </c>
      <c r="S6" t="s">
        <v>57</v>
      </c>
      <c r="U6" t="s">
        <v>80</v>
      </c>
      <c r="V6">
        <v>-18573.389976384799</v>
      </c>
      <c r="W6">
        <f t="shared" si="4"/>
        <v>18573.389976384799</v>
      </c>
      <c r="Z6" t="s">
        <v>30</v>
      </c>
      <c r="AA6">
        <v>-9314.9559114728509</v>
      </c>
      <c r="AB6">
        <f t="shared" si="5"/>
        <v>9314.9559114728509</v>
      </c>
      <c r="AD6" t="s">
        <v>30</v>
      </c>
      <c r="AE6" t="s">
        <v>98</v>
      </c>
      <c r="AF6">
        <v>-47559758604.643402</v>
      </c>
      <c r="AG6">
        <f t="shared" si="6"/>
        <v>47559758604.643402</v>
      </c>
      <c r="AH6">
        <f t="shared" si="7"/>
        <v>2377.9879302321701</v>
      </c>
    </row>
    <row r="7" spans="1:34" x14ac:dyDescent="0.55000000000000004">
      <c r="A7" t="s">
        <v>31</v>
      </c>
      <c r="B7" s="1">
        <f t="shared" si="0"/>
        <v>6708.8611185028003</v>
      </c>
      <c r="C7">
        <v>1</v>
      </c>
      <c r="D7">
        <v>-6708.8611185028003</v>
      </c>
      <c r="E7" s="1">
        <f t="shared" si="1"/>
        <v>6708.8611185028003</v>
      </c>
      <c r="F7" s="1"/>
      <c r="G7">
        <v>1.2819101291317896</v>
      </c>
      <c r="H7">
        <v>1.2384464733325866</v>
      </c>
      <c r="I7">
        <v>6.0583200671325921</v>
      </c>
      <c r="J7">
        <v>6.0583200671325921</v>
      </c>
      <c r="K7">
        <v>1.0888676589875159</v>
      </c>
      <c r="L7">
        <v>1.0799867182825043</v>
      </c>
      <c r="M7">
        <f t="shared" si="2"/>
        <v>1.5787711018409496</v>
      </c>
      <c r="N7">
        <f t="shared" si="3"/>
        <v>1.1620956920335126</v>
      </c>
      <c r="O7">
        <v>0.85794878082148074</v>
      </c>
      <c r="P7">
        <v>0.86051433359169693</v>
      </c>
      <c r="Q7" t="s">
        <v>62</v>
      </c>
      <c r="R7">
        <v>0.39</v>
      </c>
      <c r="S7" t="s">
        <v>57</v>
      </c>
      <c r="U7" t="s">
        <v>81</v>
      </c>
      <c r="V7">
        <v>-16917.288601435299</v>
      </c>
      <c r="W7">
        <f t="shared" si="4"/>
        <v>16917.288601435299</v>
      </c>
      <c r="Z7" t="s">
        <v>31</v>
      </c>
      <c r="AA7">
        <v>-30492.008704505999</v>
      </c>
      <c r="AB7">
        <f t="shared" si="5"/>
        <v>30492.008704505999</v>
      </c>
      <c r="AD7" t="s">
        <v>31</v>
      </c>
      <c r="AE7" t="s">
        <v>98</v>
      </c>
      <c r="AF7">
        <v>-47559744941.601196</v>
      </c>
      <c r="AG7">
        <f t="shared" si="6"/>
        <v>47559744941.601196</v>
      </c>
      <c r="AH7">
        <f t="shared" si="7"/>
        <v>2377.9872470800597</v>
      </c>
    </row>
    <row r="8" spans="1:34" x14ac:dyDescent="0.55000000000000004">
      <c r="A8" t="s">
        <v>114</v>
      </c>
      <c r="B8" s="1">
        <f t="shared" si="0"/>
        <v>6145.4098235814999</v>
      </c>
      <c r="C8">
        <v>1</v>
      </c>
      <c r="D8">
        <v>-6145.4098235814999</v>
      </c>
      <c r="E8" s="1">
        <f t="shared" si="1"/>
        <v>6145.4098235814999</v>
      </c>
      <c r="F8" s="1"/>
      <c r="G8">
        <v>1.7914456681065503</v>
      </c>
      <c r="H8">
        <v>1.2184908361325493</v>
      </c>
      <c r="I8">
        <v>1.8167703289533317</v>
      </c>
      <c r="J8">
        <v>1.9566147809978025</v>
      </c>
      <c r="K8">
        <v>1.6225964350615711</v>
      </c>
      <c r="L8">
        <v>1.0457312783151445</v>
      </c>
      <c r="M8">
        <f t="shared" si="2"/>
        <v>2.5717672341188598</v>
      </c>
      <c r="N8">
        <f t="shared" si="3"/>
        <v>1.8042356860307691</v>
      </c>
      <c r="O8">
        <v>1.1939034170197254</v>
      </c>
      <c r="P8">
        <v>1.8042356860307691</v>
      </c>
      <c r="Q8" t="s">
        <v>63</v>
      </c>
      <c r="R8">
        <v>0.83</v>
      </c>
      <c r="S8" t="s">
        <v>57</v>
      </c>
      <c r="U8" t="s">
        <v>82</v>
      </c>
      <c r="V8">
        <v>-17720.420106022801</v>
      </c>
      <c r="W8">
        <f t="shared" si="4"/>
        <v>17720.420106022801</v>
      </c>
      <c r="Z8" t="s">
        <v>22</v>
      </c>
      <c r="AA8">
        <v>-11763.502956239199</v>
      </c>
      <c r="AB8">
        <f t="shared" si="5"/>
        <v>11763.502956239199</v>
      </c>
      <c r="AD8" t="s">
        <v>22</v>
      </c>
      <c r="AE8" t="s">
        <v>98</v>
      </c>
      <c r="AF8">
        <v>-47559751281.167297</v>
      </c>
      <c r="AG8">
        <f t="shared" si="6"/>
        <v>47559751281.167297</v>
      </c>
      <c r="AH8">
        <f t="shared" si="7"/>
        <v>2377.987564058365</v>
      </c>
    </row>
    <row r="9" spans="1:34" x14ac:dyDescent="0.55000000000000004">
      <c r="A9" t="s">
        <v>22</v>
      </c>
      <c r="B9" s="1">
        <f t="shared" si="0"/>
        <v>8607.5509830319206</v>
      </c>
      <c r="C9">
        <v>1</v>
      </c>
      <c r="D9">
        <v>-8607.5509830319206</v>
      </c>
      <c r="E9" s="1">
        <f t="shared" si="1"/>
        <v>8607.5509830319206</v>
      </c>
      <c r="F9" s="1"/>
      <c r="G9">
        <v>5.9052950154966712</v>
      </c>
      <c r="H9">
        <v>1.0834415586081456</v>
      </c>
      <c r="I9">
        <v>1.4161630618278627</v>
      </c>
      <c r="J9">
        <v>1.9628630330725843</v>
      </c>
      <c r="K9">
        <v>2.3205799929733022</v>
      </c>
      <c r="L9">
        <v>1.1608450354498911</v>
      </c>
      <c r="M9">
        <f t="shared" si="2"/>
        <v>3.3420109054462248</v>
      </c>
      <c r="N9">
        <f t="shared" si="3"/>
        <v>1.7815309296871105</v>
      </c>
      <c r="O9">
        <v>1.369642576729218</v>
      </c>
      <c r="P9">
        <v>1.7815309296871105</v>
      </c>
      <c r="Q9" t="s">
        <v>64</v>
      </c>
      <c r="R9">
        <v>0.28000000000000003</v>
      </c>
      <c r="S9" t="s">
        <v>57</v>
      </c>
      <c r="U9" t="s">
        <v>83</v>
      </c>
      <c r="V9">
        <v>-13914.8535517569</v>
      </c>
      <c r="W9">
        <f t="shared" si="4"/>
        <v>13914.8535517569</v>
      </c>
      <c r="Z9" t="s">
        <v>2</v>
      </c>
      <c r="AA9">
        <v>-35173.085507406198</v>
      </c>
      <c r="AB9">
        <f t="shared" si="5"/>
        <v>35173.085507406198</v>
      </c>
      <c r="AD9" t="s">
        <v>2</v>
      </c>
      <c r="AE9" t="s">
        <v>98</v>
      </c>
      <c r="AF9">
        <v>-47559720195.9804</v>
      </c>
      <c r="AG9">
        <f t="shared" si="6"/>
        <v>47559720195.9804</v>
      </c>
      <c r="AH9">
        <f t="shared" si="7"/>
        <v>2377.9860097990199</v>
      </c>
    </row>
    <row r="10" spans="1:34" x14ac:dyDescent="0.55000000000000004">
      <c r="A10" t="s">
        <v>2</v>
      </c>
      <c r="B10" s="1">
        <f t="shared" si="0"/>
        <v>5692.7854520190604</v>
      </c>
      <c r="C10">
        <v>1</v>
      </c>
      <c r="D10">
        <v>-5692.7854520190604</v>
      </c>
      <c r="E10" s="1">
        <f t="shared" si="1"/>
        <v>5692.7854520190604</v>
      </c>
      <c r="F10" s="1"/>
      <c r="G10">
        <v>1.9032676592915001</v>
      </c>
      <c r="H10">
        <v>6.7688908549688254</v>
      </c>
      <c r="I10">
        <v>1.4343505635457281</v>
      </c>
      <c r="J10">
        <v>2.6487997250799258</v>
      </c>
      <c r="K10">
        <v>2.5771701314369189</v>
      </c>
      <c r="L10">
        <v>4.9038516498901608</v>
      </c>
      <c r="M10">
        <f t="shared" si="2"/>
        <v>760.84985011295532</v>
      </c>
      <c r="N10">
        <f t="shared" si="3"/>
        <v>10.814425231613686</v>
      </c>
      <c r="O10">
        <v>8.3877940510265709</v>
      </c>
      <c r="P10">
        <v>10.814425231613686</v>
      </c>
      <c r="Q10" t="s">
        <v>65</v>
      </c>
      <c r="R10">
        <v>0.28000000000000003</v>
      </c>
      <c r="S10" t="s">
        <v>57</v>
      </c>
      <c r="U10" t="s">
        <v>84</v>
      </c>
      <c r="V10">
        <v>-13913.7516271931</v>
      </c>
      <c r="W10">
        <f t="shared" si="4"/>
        <v>13913.7516271931</v>
      </c>
      <c r="Z10" t="s">
        <v>3</v>
      </c>
      <c r="AA10">
        <v>-35172.976594068998</v>
      </c>
      <c r="AB10">
        <f t="shared" si="5"/>
        <v>35172.976594068998</v>
      </c>
      <c r="AD10" t="s">
        <v>3</v>
      </c>
      <c r="AE10" t="s">
        <v>98</v>
      </c>
      <c r="AF10">
        <v>-47559720175.870697</v>
      </c>
      <c r="AG10">
        <f t="shared" si="6"/>
        <v>47559720175.870697</v>
      </c>
      <c r="AH10">
        <f t="shared" si="7"/>
        <v>2377.9860087935349</v>
      </c>
    </row>
    <row r="11" spans="1:34" x14ac:dyDescent="0.55000000000000004">
      <c r="A11" t="s">
        <v>3</v>
      </c>
      <c r="B11" s="1">
        <f t="shared" si="0"/>
        <v>2671.8907398810502</v>
      </c>
      <c r="C11">
        <v>1</v>
      </c>
      <c r="D11">
        <v>-2671.8907398810502</v>
      </c>
      <c r="E11" s="1">
        <f t="shared" si="1"/>
        <v>2671.8907398810502</v>
      </c>
      <c r="F11" s="1"/>
      <c r="G11">
        <v>1.0006071797517018</v>
      </c>
      <c r="H11">
        <v>1.0085064769841459</v>
      </c>
      <c r="I11">
        <v>1.5092954598213217</v>
      </c>
      <c r="J11">
        <v>2.9085229368615373</v>
      </c>
      <c r="K11">
        <v>2.3528055797743703</v>
      </c>
      <c r="L11">
        <v>4.0150481740121435</v>
      </c>
      <c r="M11">
        <f t="shared" si="2"/>
        <v>1.5091022026253154</v>
      </c>
      <c r="N11">
        <f t="shared" si="3"/>
        <v>1.0477260910377033</v>
      </c>
      <c r="O11">
        <v>1.2001497719808096</v>
      </c>
      <c r="P11">
        <v>1.0477260910377033</v>
      </c>
      <c r="Q11" t="s">
        <v>66</v>
      </c>
      <c r="R11">
        <v>0.79</v>
      </c>
      <c r="S11" t="s">
        <v>57</v>
      </c>
      <c r="U11" t="s">
        <v>85</v>
      </c>
      <c r="V11">
        <v>-18241.316002551499</v>
      </c>
      <c r="W11">
        <f t="shared" si="4"/>
        <v>18241.316002551499</v>
      </c>
      <c r="Z11" t="s">
        <v>33</v>
      </c>
      <c r="AA11">
        <v>-13441.2653619353</v>
      </c>
      <c r="AB11">
        <f t="shared" si="5"/>
        <v>13441.2653619353</v>
      </c>
      <c r="AD11" t="s">
        <v>33</v>
      </c>
      <c r="AE11" t="s">
        <v>98</v>
      </c>
      <c r="AF11">
        <v>-47559755794.218597</v>
      </c>
      <c r="AG11">
        <f t="shared" si="6"/>
        <v>47559755794.218597</v>
      </c>
      <c r="AH11">
        <f t="shared" si="7"/>
        <v>2377.98778971093</v>
      </c>
    </row>
    <row r="12" spans="1:34" x14ac:dyDescent="0.55000000000000004">
      <c r="A12" t="s">
        <v>115</v>
      </c>
      <c r="B12" s="1">
        <f t="shared" si="0"/>
        <v>7397.10173560577</v>
      </c>
      <c r="C12">
        <v>1</v>
      </c>
      <c r="D12">
        <v>-7397.10173560577</v>
      </c>
      <c r="E12" s="1">
        <f t="shared" si="1"/>
        <v>7397.10173560577</v>
      </c>
      <c r="F12" s="1"/>
      <c r="G12">
        <f>1/0.465168747072195</f>
        <v>2.1497574940149584</v>
      </c>
      <c r="H12">
        <v>16.701447177136448</v>
      </c>
      <c r="I12">
        <v>6.53089958340294</v>
      </c>
      <c r="J12">
        <v>6.53089958340294</v>
      </c>
      <c r="K12">
        <v>0.96973417819835606</v>
      </c>
      <c r="L12">
        <v>1.0080330649445537</v>
      </c>
      <c r="M12">
        <f t="shared" si="2"/>
        <v>1.0213921273570323</v>
      </c>
      <c r="N12">
        <f t="shared" si="3"/>
        <v>1.0113585858267005</v>
      </c>
      <c r="O12">
        <v>0.99507617891993005</v>
      </c>
      <c r="P12">
        <v>0.98876898264781554</v>
      </c>
      <c r="Q12" t="s">
        <v>67</v>
      </c>
      <c r="R12">
        <v>0.28000000000000003</v>
      </c>
      <c r="S12" t="s">
        <v>57</v>
      </c>
      <c r="U12" t="s">
        <v>86</v>
      </c>
      <c r="V12">
        <v>-1.9905575359328198E-3</v>
      </c>
      <c r="W12">
        <f t="shared" si="4"/>
        <v>1.9905575359328198E-3</v>
      </c>
      <c r="Z12" t="s">
        <v>52</v>
      </c>
      <c r="AA12">
        <v>-35046.194040196599</v>
      </c>
      <c r="AB12">
        <f t="shared" si="5"/>
        <v>35046.194040196599</v>
      </c>
      <c r="AD12" t="s">
        <v>52</v>
      </c>
      <c r="AE12" t="s">
        <v>98</v>
      </c>
      <c r="AF12">
        <v>-47559605274.603401</v>
      </c>
      <c r="AG12">
        <f t="shared" si="6"/>
        <v>47559605274.603401</v>
      </c>
      <c r="AH12">
        <f t="shared" si="7"/>
        <v>2377.98026373017</v>
      </c>
    </row>
    <row r="13" spans="1:34" x14ac:dyDescent="0.55000000000000004">
      <c r="A13" t="s">
        <v>116</v>
      </c>
      <c r="B13" s="1">
        <f t="shared" si="0"/>
        <v>5888.5841558455504</v>
      </c>
      <c r="C13">
        <v>1</v>
      </c>
      <c r="D13">
        <v>-5888.5841558455504</v>
      </c>
      <c r="E13" s="1">
        <f t="shared" si="1"/>
        <v>5888.5841558455504</v>
      </c>
      <c r="F13" s="1"/>
      <c r="G13">
        <v>2.3797968078317626</v>
      </c>
      <c r="H13">
        <v>1.0001218370495875</v>
      </c>
      <c r="I13">
        <v>3.5733855825538621</v>
      </c>
      <c r="J13">
        <v>2.0536892001898734</v>
      </c>
      <c r="K13">
        <v>1.2713887435639188</v>
      </c>
      <c r="L13">
        <v>1.7680819702877801</v>
      </c>
      <c r="M13">
        <f t="shared" si="2"/>
        <v>48.839770440329282</v>
      </c>
      <c r="N13">
        <f t="shared" si="3"/>
        <v>5.3945607615604274</v>
      </c>
      <c r="O13">
        <v>3.0089069844280814</v>
      </c>
      <c r="P13">
        <v>5.3945607615604274</v>
      </c>
      <c r="Q13" t="s">
        <v>68</v>
      </c>
      <c r="R13">
        <v>0.82</v>
      </c>
      <c r="S13" t="s">
        <v>57</v>
      </c>
      <c r="U13" t="s">
        <v>87</v>
      </c>
      <c r="V13">
        <v>-17250.708346607</v>
      </c>
      <c r="W13">
        <f t="shared" si="4"/>
        <v>17250.708346607</v>
      </c>
      <c r="Z13" t="s">
        <v>34</v>
      </c>
      <c r="AA13">
        <v>-12261.169085416501</v>
      </c>
      <c r="AB13">
        <f t="shared" si="5"/>
        <v>12261.169085416501</v>
      </c>
      <c r="AD13" t="s">
        <v>34</v>
      </c>
      <c r="AE13" t="s">
        <v>98</v>
      </c>
      <c r="AF13">
        <v>-47559747271.603798</v>
      </c>
      <c r="AG13">
        <f t="shared" si="6"/>
        <v>47559747271.603798</v>
      </c>
      <c r="AH13">
        <f t="shared" si="7"/>
        <v>2377.98736358019</v>
      </c>
    </row>
    <row r="14" spans="1:34" x14ac:dyDescent="0.55000000000000004">
      <c r="A14" t="s">
        <v>24</v>
      </c>
      <c r="B14" s="1">
        <f t="shared" si="0"/>
        <v>7132.8424487908997</v>
      </c>
      <c r="C14">
        <v>1</v>
      </c>
      <c r="D14">
        <v>-7132.8424487908997</v>
      </c>
      <c r="E14" s="1">
        <f t="shared" si="1"/>
        <v>7132.8424487908997</v>
      </c>
      <c r="F14" s="1"/>
      <c r="G14">
        <v>2.6859365494989214</v>
      </c>
      <c r="H14">
        <v>1.4190873354812903</v>
      </c>
      <c r="I14">
        <v>2.6859365494989214</v>
      </c>
      <c r="J14">
        <v>2.6859365494989214</v>
      </c>
      <c r="K14">
        <v>2.6859365494989214</v>
      </c>
      <c r="L14">
        <v>2.6859365494989214</v>
      </c>
      <c r="M14">
        <f t="shared" si="2"/>
        <v>19.377031579247138</v>
      </c>
      <c r="N14">
        <f t="shared" si="3"/>
        <v>2.6859365494989214</v>
      </c>
      <c r="O14">
        <v>2.6859365494989214</v>
      </c>
      <c r="P14">
        <v>2.6859365494989214</v>
      </c>
      <c r="Q14" t="s">
        <v>69</v>
      </c>
      <c r="R14">
        <v>2.38</v>
      </c>
      <c r="S14" t="s">
        <v>57</v>
      </c>
      <c r="U14" t="s">
        <v>88</v>
      </c>
      <c r="V14">
        <v>-25210.257947866899</v>
      </c>
      <c r="W14">
        <f t="shared" si="4"/>
        <v>25210.257947866899</v>
      </c>
      <c r="Z14" t="s">
        <v>24</v>
      </c>
      <c r="AA14">
        <v>53639.560099886003</v>
      </c>
      <c r="AB14">
        <f t="shared" si="5"/>
        <v>53639.560099886003</v>
      </c>
      <c r="AD14" t="s">
        <v>24</v>
      </c>
      <c r="AE14" t="s">
        <v>98</v>
      </c>
      <c r="AF14">
        <v>-47559811591.987701</v>
      </c>
      <c r="AG14">
        <f t="shared" si="6"/>
        <v>47559811591.987701</v>
      </c>
      <c r="AH14">
        <f t="shared" si="7"/>
        <v>2377.990579599385</v>
      </c>
    </row>
    <row r="15" spans="1:34" x14ac:dyDescent="0.55000000000000004">
      <c r="A15" t="s">
        <v>117</v>
      </c>
      <c r="B15" s="1">
        <f t="shared" si="0"/>
        <v>4294.54586239745</v>
      </c>
      <c r="C15">
        <v>1</v>
      </c>
      <c r="D15">
        <v>-4294.54586239745</v>
      </c>
      <c r="E15" s="1">
        <f t="shared" si="1"/>
        <v>4294.54586239745</v>
      </c>
      <c r="F15" s="1"/>
      <c r="G15">
        <v>1.0044128232388068</v>
      </c>
      <c r="H15">
        <v>2.1980046784870417</v>
      </c>
      <c r="I15">
        <v>1.3014642457591481</v>
      </c>
      <c r="J15">
        <v>1.2574998713985881</v>
      </c>
      <c r="K15">
        <v>1.1411233068787821</v>
      </c>
      <c r="L15">
        <v>1.0955286835218148</v>
      </c>
      <c r="M15">
        <f t="shared" si="2"/>
        <v>1.0983085191889119</v>
      </c>
      <c r="N15">
        <f t="shared" si="3"/>
        <v>1.0283086775613952</v>
      </c>
      <c r="O15">
        <v>1.0334760717782219</v>
      </c>
      <c r="P15">
        <v>1.0283086775613952</v>
      </c>
      <c r="Q15" t="s">
        <v>69</v>
      </c>
      <c r="R15">
        <v>0.31</v>
      </c>
      <c r="S15" t="s">
        <v>57</v>
      </c>
      <c r="U15" t="s">
        <v>89</v>
      </c>
      <c r="V15">
        <v>-10658.5470580574</v>
      </c>
      <c r="W15">
        <f t="shared" si="4"/>
        <v>10658.5470580574</v>
      </c>
      <c r="Z15" t="s">
        <v>53</v>
      </c>
      <c r="AA15">
        <v>-33850.234636668501</v>
      </c>
      <c r="AB15">
        <f t="shared" si="5"/>
        <v>33850.234636668501</v>
      </c>
      <c r="AD15" t="s">
        <v>53</v>
      </c>
      <c r="AE15" t="s">
        <v>98</v>
      </c>
      <c r="AF15">
        <v>-47559693252.470299</v>
      </c>
      <c r="AG15">
        <f t="shared" si="6"/>
        <v>47559693252.470299</v>
      </c>
      <c r="AH15">
        <f t="shared" si="7"/>
        <v>2377.9846626235149</v>
      </c>
    </row>
    <row r="16" spans="1:34" x14ac:dyDescent="0.55000000000000004">
      <c r="A16" t="s">
        <v>16</v>
      </c>
      <c r="B16" s="1">
        <f t="shared" si="0"/>
        <v>7082.8748709041702</v>
      </c>
      <c r="C16">
        <v>1</v>
      </c>
      <c r="D16">
        <v>-7082.8748709041702</v>
      </c>
      <c r="E16" s="1">
        <f t="shared" si="1"/>
        <v>7082.8748709041702</v>
      </c>
      <c r="F16" s="1"/>
      <c r="G16">
        <v>3.089183541586924</v>
      </c>
      <c r="H16">
        <v>1.2342131368330314</v>
      </c>
      <c r="I16">
        <v>1.1535850322809655</v>
      </c>
      <c r="J16">
        <v>1.2764225903623707</v>
      </c>
      <c r="K16">
        <v>1.3450603855963155</v>
      </c>
      <c r="L16">
        <v>1.0764664272564612</v>
      </c>
      <c r="M16">
        <f t="shared" si="2"/>
        <v>1.3120096742222191</v>
      </c>
      <c r="N16">
        <f t="shared" si="3"/>
        <v>1.0283070303050474</v>
      </c>
      <c r="O16">
        <v>0.88530493230473695</v>
      </c>
      <c r="P16">
        <v>0.97247219996478074</v>
      </c>
      <c r="Q16" t="s">
        <v>69</v>
      </c>
      <c r="R16">
        <v>0.41</v>
      </c>
      <c r="S16" t="s">
        <v>57</v>
      </c>
      <c r="U16" t="s">
        <v>90</v>
      </c>
      <c r="V16">
        <v>-17218.910813448201</v>
      </c>
      <c r="W16">
        <f t="shared" si="4"/>
        <v>17218.910813448201</v>
      </c>
      <c r="Z16" t="s">
        <v>16</v>
      </c>
      <c r="AA16">
        <v>-29403.116816972299</v>
      </c>
      <c r="AB16">
        <f t="shared" si="5"/>
        <v>29403.116816972299</v>
      </c>
      <c r="AD16" t="s">
        <v>16</v>
      </c>
      <c r="AE16" t="s">
        <v>98</v>
      </c>
      <c r="AF16">
        <v>-47559747429.257401</v>
      </c>
      <c r="AG16">
        <f t="shared" si="6"/>
        <v>47559747429.257401</v>
      </c>
      <c r="AH16">
        <f t="shared" si="7"/>
        <v>2377.9873714628702</v>
      </c>
    </row>
    <row r="17" spans="1:34" x14ac:dyDescent="0.55000000000000004">
      <c r="A17" t="s">
        <v>118</v>
      </c>
      <c r="B17" s="1">
        <f t="shared" si="0"/>
        <v>7525.4022072342304</v>
      </c>
      <c r="C17">
        <v>1</v>
      </c>
      <c r="D17">
        <v>-7525.4022072342304</v>
      </c>
      <c r="E17" s="1">
        <f t="shared" si="1"/>
        <v>7525.4022072342304</v>
      </c>
      <c r="F17" s="1"/>
      <c r="G17">
        <v>1.7563644102880311</v>
      </c>
      <c r="H17">
        <v>1.2415766620383926</v>
      </c>
      <c r="I17">
        <v>1.1793577541745457</v>
      </c>
      <c r="J17">
        <v>1.3420721770198045</v>
      </c>
      <c r="K17">
        <v>1.4140280852089375</v>
      </c>
      <c r="L17">
        <v>1.0401550343704615</v>
      </c>
      <c r="M17">
        <f t="shared" si="2"/>
        <v>2.3204564884546559</v>
      </c>
      <c r="N17">
        <f t="shared" si="3"/>
        <v>1.692998139894957</v>
      </c>
      <c r="O17">
        <v>1.1707346550674869</v>
      </c>
      <c r="P17">
        <v>1.692998139894957</v>
      </c>
      <c r="Q17" t="s">
        <v>70</v>
      </c>
      <c r="R17">
        <v>0.23</v>
      </c>
      <c r="S17" t="s">
        <v>57</v>
      </c>
      <c r="U17" t="s">
        <v>91</v>
      </c>
      <c r="V17">
        <v>-17679.510700917301</v>
      </c>
      <c r="W17">
        <f t="shared" si="4"/>
        <v>17679.510700917301</v>
      </c>
      <c r="Z17" t="s">
        <v>7</v>
      </c>
      <c r="AA17">
        <v>-37026.2031965403</v>
      </c>
      <c r="AB17">
        <f t="shared" si="5"/>
        <v>37026.2031965403</v>
      </c>
      <c r="AD17" t="s">
        <v>7</v>
      </c>
      <c r="AE17" t="s">
        <v>98</v>
      </c>
      <c r="AF17">
        <v>-47559751290.147003</v>
      </c>
      <c r="AG17">
        <f t="shared" si="6"/>
        <v>47559751290.147003</v>
      </c>
      <c r="AH17">
        <f t="shared" si="7"/>
        <v>2377.9875645073503</v>
      </c>
    </row>
    <row r="18" spans="1:34" x14ac:dyDescent="0.55000000000000004">
      <c r="A18" t="s">
        <v>7</v>
      </c>
      <c r="B18" s="1">
        <f t="shared" si="0"/>
        <v>6210.8241236264503</v>
      </c>
      <c r="C18">
        <v>1</v>
      </c>
      <c r="D18">
        <v>-6210.8241236264503</v>
      </c>
      <c r="E18" s="1">
        <f t="shared" si="1"/>
        <v>6210.8241236264503</v>
      </c>
      <c r="F18" s="1"/>
      <c r="G18">
        <v>1.1557718898334859</v>
      </c>
      <c r="H18">
        <v>1.2642336234048348</v>
      </c>
      <c r="I18">
        <v>150.20560649165981</v>
      </c>
      <c r="J18">
        <v>3.669744719940355</v>
      </c>
      <c r="K18">
        <v>2.2305136395825644</v>
      </c>
      <c r="L18">
        <v>2.5255236608237874</v>
      </c>
      <c r="M18">
        <f t="shared" si="2"/>
        <v>7.1148792273518984</v>
      </c>
      <c r="N18">
        <f t="shared" si="3"/>
        <v>1.977620102350748</v>
      </c>
      <c r="O18">
        <v>1.8967597809026848</v>
      </c>
      <c r="P18">
        <v>1.977620102350748</v>
      </c>
      <c r="Q18" t="s">
        <v>71</v>
      </c>
      <c r="R18">
        <v>0.7</v>
      </c>
      <c r="S18" t="s">
        <v>57</v>
      </c>
      <c r="U18" t="s">
        <v>92</v>
      </c>
      <c r="V18">
        <v>-1194.2496442439101</v>
      </c>
      <c r="W18">
        <f t="shared" si="4"/>
        <v>1194.2496442439101</v>
      </c>
      <c r="Z18" t="s">
        <v>54</v>
      </c>
      <c r="AA18">
        <v>-17169.985117464901</v>
      </c>
      <c r="AB18">
        <f t="shared" si="5"/>
        <v>17169.985117464901</v>
      </c>
      <c r="AD18" t="s">
        <v>54</v>
      </c>
      <c r="AE18" t="s">
        <v>98</v>
      </c>
      <c r="AF18">
        <v>-47559611932.661903</v>
      </c>
      <c r="AG18">
        <f t="shared" si="6"/>
        <v>47559611932.661903</v>
      </c>
      <c r="AH18">
        <f t="shared" si="7"/>
        <v>2377.980596633095</v>
      </c>
    </row>
    <row r="19" spans="1:34" x14ac:dyDescent="0.55000000000000004">
      <c r="A19" t="s">
        <v>5</v>
      </c>
      <c r="B19" s="1">
        <f t="shared" si="0"/>
        <v>79482.429497210207</v>
      </c>
      <c r="C19">
        <v>1000</v>
      </c>
      <c r="D19">
        <v>-79.482429497210205</v>
      </c>
      <c r="E19" s="1">
        <f t="shared" si="1"/>
        <v>79.482429497210205</v>
      </c>
      <c r="F19" s="1"/>
      <c r="G19">
        <v>1.1474332688136757</v>
      </c>
      <c r="H19">
        <v>1.4006139368314889</v>
      </c>
      <c r="I19">
        <v>2.4401028881455225</v>
      </c>
      <c r="J19">
        <v>2.6249872706131119</v>
      </c>
      <c r="K19">
        <v>2.0471225674752564</v>
      </c>
      <c r="L19">
        <v>2.5034955573209885</v>
      </c>
      <c r="M19">
        <f t="shared" si="2"/>
        <v>7.0471542821805242</v>
      </c>
      <c r="N19">
        <f t="shared" si="3"/>
        <v>1.9717125593676921</v>
      </c>
      <c r="O19">
        <v>1.8905365948898383</v>
      </c>
      <c r="P19">
        <v>1.9717125593676921</v>
      </c>
      <c r="Q19" t="s">
        <v>72</v>
      </c>
      <c r="R19">
        <v>0.28000000000000003</v>
      </c>
      <c r="S19" t="s">
        <v>57</v>
      </c>
      <c r="U19" t="s">
        <v>93</v>
      </c>
      <c r="V19">
        <v>-5717.7244595634302</v>
      </c>
      <c r="W19">
        <f t="shared" si="4"/>
        <v>5717.7244595634302</v>
      </c>
      <c r="Z19" t="s">
        <v>55</v>
      </c>
      <c r="AA19">
        <v>-35045.831121284602</v>
      </c>
      <c r="AB19">
        <f t="shared" si="5"/>
        <v>35045.831121284602</v>
      </c>
      <c r="AD19" t="s">
        <v>55</v>
      </c>
      <c r="AE19" t="s">
        <v>98</v>
      </c>
      <c r="AF19">
        <v>-47559652499.775002</v>
      </c>
      <c r="AG19">
        <f t="shared" si="6"/>
        <v>47559652499.775002</v>
      </c>
      <c r="AH19">
        <f t="shared" si="7"/>
        <v>2377.9826249887501</v>
      </c>
    </row>
    <row r="20" spans="1:34" x14ac:dyDescent="0.55000000000000004">
      <c r="A20" t="s">
        <v>4</v>
      </c>
      <c r="B20" s="1">
        <f t="shared" si="0"/>
        <v>3072.7803851356598</v>
      </c>
      <c r="C20">
        <v>1</v>
      </c>
      <c r="D20">
        <v>-3072.7803851356598</v>
      </c>
      <c r="E20" s="1">
        <f t="shared" si="1"/>
        <v>3072.7803851356598</v>
      </c>
      <c r="F20" s="1"/>
      <c r="G20">
        <v>1.5990063717655962</v>
      </c>
      <c r="H20">
        <v>1.2454006848845762</v>
      </c>
      <c r="I20">
        <v>1.2152703460689358</v>
      </c>
      <c r="J20">
        <v>1.4098998592819461</v>
      </c>
      <c r="K20">
        <v>1.4678153834818761</v>
      </c>
      <c r="L20">
        <v>1.0656626349147753</v>
      </c>
      <c r="M20">
        <f t="shared" si="2"/>
        <v>2.7319176252460529</v>
      </c>
      <c r="N20">
        <f t="shared" si="3"/>
        <v>1.8200881907288791</v>
      </c>
      <c r="O20">
        <v>1.2251452599782235</v>
      </c>
      <c r="P20">
        <v>1.8200881907288791</v>
      </c>
      <c r="Q20" t="s">
        <v>73</v>
      </c>
      <c r="R20">
        <v>0.47</v>
      </c>
      <c r="S20" t="s">
        <v>57</v>
      </c>
      <c r="U20" t="s">
        <v>94</v>
      </c>
      <c r="V20">
        <v>-17788.880269262201</v>
      </c>
      <c r="W20">
        <f t="shared" si="4"/>
        <v>17788.880269262201</v>
      </c>
      <c r="Z20" t="s">
        <v>12</v>
      </c>
      <c r="AA20">
        <v>-27230.0285496086</v>
      </c>
      <c r="AB20">
        <f t="shared" si="5"/>
        <v>27230.0285496086</v>
      </c>
      <c r="AD20" t="s">
        <v>12</v>
      </c>
      <c r="AE20" t="s">
        <v>98</v>
      </c>
      <c r="AF20">
        <v>-47559752140.418999</v>
      </c>
      <c r="AG20">
        <f t="shared" si="6"/>
        <v>47559752140.418999</v>
      </c>
      <c r="AH20">
        <f t="shared" si="7"/>
        <v>2377.9876070209498</v>
      </c>
    </row>
    <row r="21" spans="1:34" x14ac:dyDescent="0.55000000000000004">
      <c r="A21" t="s">
        <v>12</v>
      </c>
      <c r="B21" s="1">
        <f t="shared" si="0"/>
        <v>7199.9651455209696</v>
      </c>
      <c r="C21">
        <v>1</v>
      </c>
      <c r="D21">
        <v>-7199.9651455209696</v>
      </c>
      <c r="E21" s="1">
        <f t="shared" si="1"/>
        <v>7199.9651455209696</v>
      </c>
      <c r="F21" s="1"/>
      <c r="G21">
        <v>2.77253305283813</v>
      </c>
      <c r="H21">
        <v>1.2342087232077326</v>
      </c>
      <c r="I21">
        <v>1.1463854428033025</v>
      </c>
      <c r="J21">
        <v>1.2742792867460202</v>
      </c>
      <c r="K21">
        <v>1.3482036551670411</v>
      </c>
      <c r="L21">
        <v>1.0115834867615181</v>
      </c>
      <c r="M21">
        <f t="shared" si="2"/>
        <v>1.4852619638308617</v>
      </c>
      <c r="N21">
        <f t="shared" si="3"/>
        <v>1.370223808847302</v>
      </c>
      <c r="O21">
        <v>1.0411319516931947</v>
      </c>
      <c r="P21">
        <v>1.370223808847302</v>
      </c>
      <c r="Q21" t="s">
        <v>74</v>
      </c>
      <c r="R21">
        <v>0.35</v>
      </c>
      <c r="S21" t="s">
        <v>57</v>
      </c>
      <c r="U21" t="s">
        <v>95</v>
      </c>
      <c r="V21">
        <v>-17459.328982719901</v>
      </c>
      <c r="W21">
        <f t="shared" si="4"/>
        <v>17459.328982719901</v>
      </c>
      <c r="Z21" t="s">
        <v>36</v>
      </c>
      <c r="AA21">
        <v>-32109.569632192099</v>
      </c>
      <c r="AB21">
        <f t="shared" si="5"/>
        <v>32109.569632192099</v>
      </c>
      <c r="AD21" t="s">
        <v>36</v>
      </c>
      <c r="AE21" t="s">
        <v>98</v>
      </c>
      <c r="AF21">
        <v>-47559749444.779701</v>
      </c>
      <c r="AG21">
        <f t="shared" si="6"/>
        <v>47559749444.779701</v>
      </c>
      <c r="AH21">
        <f t="shared" si="7"/>
        <v>2377.987472238985</v>
      </c>
    </row>
    <row r="22" spans="1:34" x14ac:dyDescent="0.55000000000000004">
      <c r="A22" t="s">
        <v>119</v>
      </c>
      <c r="B22" s="1">
        <f t="shared" si="0"/>
        <v>6333.3569156180902</v>
      </c>
      <c r="C22">
        <v>1</v>
      </c>
      <c r="D22">
        <v>-6333.3569156180902</v>
      </c>
      <c r="E22" s="1">
        <f t="shared" si="1"/>
        <v>6333.3569156180902</v>
      </c>
      <c r="F22" s="1"/>
      <c r="G22">
        <v>2.0464635699435125</v>
      </c>
      <c r="H22">
        <v>1.3530553609320977</v>
      </c>
      <c r="I22">
        <v>1.1325571502929206</v>
      </c>
      <c r="J22">
        <v>1.6823834050891</v>
      </c>
      <c r="K22">
        <v>1.7699684615177333</v>
      </c>
      <c r="L22">
        <v>1.1032084872564494</v>
      </c>
      <c r="M22">
        <f t="shared" si="2"/>
        <v>1.9433345338161201</v>
      </c>
      <c r="N22">
        <f t="shared" si="3"/>
        <v>1.356959901808062</v>
      </c>
      <c r="O22">
        <v>1.1967137387776754</v>
      </c>
      <c r="P22">
        <v>1.356959901808062</v>
      </c>
      <c r="Q22" t="s">
        <v>75</v>
      </c>
      <c r="R22">
        <v>0.42</v>
      </c>
      <c r="S22" t="s">
        <v>57</v>
      </c>
      <c r="U22" t="s">
        <v>96</v>
      </c>
      <c r="V22">
        <v>-14014.873681586399</v>
      </c>
      <c r="W22">
        <f t="shared" si="4"/>
        <v>14014.873681586399</v>
      </c>
      <c r="Z22" t="s">
        <v>0</v>
      </c>
      <c r="AA22">
        <v>-29288.189649909302</v>
      </c>
      <c r="AB22">
        <f t="shared" si="5"/>
        <v>29288.189649909302</v>
      </c>
      <c r="AD22" t="s">
        <v>0</v>
      </c>
      <c r="AE22" t="s">
        <v>98</v>
      </c>
      <c r="AF22">
        <v>-47559720847.560501</v>
      </c>
      <c r="AG22">
        <f t="shared" si="6"/>
        <v>47559720847.560501</v>
      </c>
      <c r="AH22">
        <f t="shared" si="7"/>
        <v>2377.9860423780251</v>
      </c>
    </row>
    <row r="23" spans="1:34" x14ac:dyDescent="0.55000000000000004">
      <c r="A23" t="s">
        <v>0</v>
      </c>
      <c r="B23" s="1">
        <f>E23*C23</f>
        <v>2293.0884612842301</v>
      </c>
      <c r="C23">
        <v>1</v>
      </c>
      <c r="D23">
        <v>-2293.0884612842301</v>
      </c>
      <c r="E23" s="1">
        <f t="shared" si="1"/>
        <v>2293.0884612842301</v>
      </c>
      <c r="F23" s="1"/>
    </row>
    <row r="24" spans="1:34" x14ac:dyDescent="0.55000000000000004">
      <c r="A24" t="s">
        <v>120</v>
      </c>
      <c r="B24" s="1">
        <f t="shared" si="0"/>
        <v>7069.6333963705101</v>
      </c>
      <c r="C24">
        <v>1</v>
      </c>
      <c r="D24">
        <v>-7069.6333963705101</v>
      </c>
      <c r="E24" s="1">
        <f t="shared" si="1"/>
        <v>7069.6333963705101</v>
      </c>
      <c r="F24" s="1"/>
    </row>
    <row r="25" spans="1:34" x14ac:dyDescent="0.55000000000000004">
      <c r="B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96E9-482F-4E4E-AF1E-5E057436A526}">
  <dimension ref="A1:S28"/>
  <sheetViews>
    <sheetView zoomScale="80" zoomScaleNormal="80" workbookViewId="0">
      <selection activeCell="A7" sqref="A7"/>
    </sheetView>
  </sheetViews>
  <sheetFormatPr defaultRowHeight="14.4" x14ac:dyDescent="0.55000000000000004"/>
  <cols>
    <col min="1" max="1" width="20.68359375" bestFit="1" customWidth="1"/>
    <col min="2" max="2" width="15.83984375" bestFit="1" customWidth="1"/>
    <col min="3" max="3" width="9.734375" bestFit="1" customWidth="1"/>
    <col min="7" max="7" width="11.68359375" bestFit="1" customWidth="1"/>
    <col min="18" max="18" width="11.68359375" bestFit="1" customWidth="1"/>
  </cols>
  <sheetData>
    <row r="1" spans="1:19" x14ac:dyDescent="0.55000000000000004">
      <c r="A1" t="s">
        <v>26</v>
      </c>
      <c r="B1" t="s">
        <v>27</v>
      </c>
      <c r="I1" t="s">
        <v>103</v>
      </c>
    </row>
    <row r="2" spans="1:19" x14ac:dyDescent="0.55000000000000004">
      <c r="A2" t="s">
        <v>20</v>
      </c>
      <c r="B2" s="2">
        <f>G2*H2</f>
        <v>4497.16694756376</v>
      </c>
      <c r="C2">
        <f>D2*100</f>
        <v>3.2526661986664442</v>
      </c>
      <c r="D2" s="5">
        <v>3.2526661986664443E-2</v>
      </c>
      <c r="F2">
        <v>-4497.16694756376</v>
      </c>
      <c r="G2">
        <f>ABS(F2)</f>
        <v>4497.16694756376</v>
      </c>
      <c r="H2">
        <v>1</v>
      </c>
      <c r="J2" t="s">
        <v>25</v>
      </c>
      <c r="K2">
        <v>-0.89536027220246905</v>
      </c>
      <c r="L2">
        <f>ABS(K2)</f>
        <v>0.89536027220246905</v>
      </c>
      <c r="M2" s="2">
        <f>L2*10000</f>
        <v>8953.6027220246906</v>
      </c>
      <c r="P2" t="s">
        <v>25</v>
      </c>
      <c r="Q2">
        <v>-47558151538.125702</v>
      </c>
      <c r="R2">
        <f>ABS(Q2)</f>
        <v>47558151538.125702</v>
      </c>
      <c r="S2">
        <f>R2/1000000000</f>
        <v>47.558151538125699</v>
      </c>
    </row>
    <row r="3" spans="1:19" x14ac:dyDescent="0.55000000000000004">
      <c r="A3" t="s">
        <v>29</v>
      </c>
      <c r="B3" s="2">
        <f t="shared" ref="B3:B23" si="0">G3*H3</f>
        <v>4960.2706535672196</v>
      </c>
      <c r="C3">
        <f t="shared" ref="C3:C23" si="1">D3*100</f>
        <v>3.8345436159245661</v>
      </c>
      <c r="D3" s="5">
        <v>3.8345436159245662E-2</v>
      </c>
      <c r="F3">
        <v>-4960.2706535672196</v>
      </c>
      <c r="G3">
        <f t="shared" ref="G3:G24" si="2">ABS(F3)</f>
        <v>4960.2706535672196</v>
      </c>
      <c r="H3">
        <v>1</v>
      </c>
      <c r="J3" t="s">
        <v>21</v>
      </c>
      <c r="K3">
        <v>-1.0555334627125501</v>
      </c>
      <c r="L3">
        <f t="shared" ref="L3:L23" si="3">ABS(K3)</f>
        <v>1.0555334627125501</v>
      </c>
      <c r="M3" s="2">
        <f t="shared" ref="M3:M23" si="4">L3*10000</f>
        <v>10555.334627125501</v>
      </c>
      <c r="P3" t="s">
        <v>21</v>
      </c>
      <c r="Q3">
        <v>-47558151536.487503</v>
      </c>
      <c r="R3">
        <f t="shared" ref="R3:R23" si="5">ABS(Q3)</f>
        <v>47558151536.487503</v>
      </c>
    </row>
    <row r="4" spans="1:19" x14ac:dyDescent="0.55000000000000004">
      <c r="A4" t="s">
        <v>113</v>
      </c>
      <c r="B4" s="2">
        <f t="shared" si="0"/>
        <v>4467.6221166954901</v>
      </c>
      <c r="C4">
        <f t="shared" si="1"/>
        <v>4.2732750934350276</v>
      </c>
      <c r="D4" s="5">
        <v>4.2732750934350278E-2</v>
      </c>
      <c r="F4">
        <v>-4467.6221166954901</v>
      </c>
      <c r="G4">
        <f t="shared" si="2"/>
        <v>4467.6221166954901</v>
      </c>
      <c r="H4">
        <v>1</v>
      </c>
      <c r="J4" t="s">
        <v>20</v>
      </c>
      <c r="K4">
        <v>-1.1763029210998299</v>
      </c>
      <c r="L4">
        <f t="shared" si="3"/>
        <v>1.1763029210998299</v>
      </c>
      <c r="M4" s="2">
        <f t="shared" si="4"/>
        <v>11763.029210998298</v>
      </c>
      <c r="P4" t="s">
        <v>20</v>
      </c>
      <c r="Q4">
        <v>-47558151535.623497</v>
      </c>
      <c r="R4">
        <f t="shared" si="5"/>
        <v>47558151535.623497</v>
      </c>
    </row>
    <row r="5" spans="1:19" x14ac:dyDescent="0.55000000000000004">
      <c r="A5" t="s">
        <v>17</v>
      </c>
      <c r="B5" s="2">
        <f t="shared" si="0"/>
        <v>29689.112175132599</v>
      </c>
      <c r="C5">
        <f t="shared" si="1"/>
        <v>3.2653283690779702</v>
      </c>
      <c r="D5" s="5">
        <v>3.2653283690779702E-2</v>
      </c>
      <c r="F5">
        <v>-2968.91121751326</v>
      </c>
      <c r="G5">
        <f t="shared" si="2"/>
        <v>2968.91121751326</v>
      </c>
      <c r="H5">
        <v>10</v>
      </c>
      <c r="J5" t="s">
        <v>1</v>
      </c>
      <c r="K5">
        <v>-0.89884578336589105</v>
      </c>
      <c r="L5">
        <f t="shared" si="3"/>
        <v>0.89884578336589105</v>
      </c>
      <c r="M5" s="2">
        <f t="shared" si="4"/>
        <v>8988.4578336589111</v>
      </c>
      <c r="P5" t="s">
        <v>1</v>
      </c>
      <c r="Q5">
        <v>-47558151538.125504</v>
      </c>
      <c r="R5">
        <f t="shared" si="5"/>
        <v>47558151538.125504</v>
      </c>
    </row>
    <row r="6" spans="1:19" x14ac:dyDescent="0.55000000000000004">
      <c r="A6" t="s">
        <v>30</v>
      </c>
      <c r="B6" s="2">
        <f t="shared" si="0"/>
        <v>4455.1421886849203</v>
      </c>
      <c r="C6">
        <f t="shared" si="1"/>
        <v>9.8901282670629662</v>
      </c>
      <c r="D6" s="5">
        <v>9.8901282670629656E-2</v>
      </c>
      <c r="F6">
        <v>-4455.1421886849203</v>
      </c>
      <c r="G6">
        <f t="shared" si="2"/>
        <v>4455.1421886849203</v>
      </c>
      <c r="H6">
        <v>1</v>
      </c>
      <c r="J6" t="s">
        <v>10</v>
      </c>
      <c r="K6">
        <v>-2.7224521043522301</v>
      </c>
      <c r="L6">
        <f t="shared" si="3"/>
        <v>2.7224521043522301</v>
      </c>
      <c r="M6" s="2">
        <f t="shared" si="4"/>
        <v>27224.521043522302</v>
      </c>
      <c r="P6" t="s">
        <v>10</v>
      </c>
      <c r="Q6">
        <v>-47558151514.863998</v>
      </c>
      <c r="R6">
        <f t="shared" si="5"/>
        <v>47558151514.863998</v>
      </c>
    </row>
    <row r="7" spans="1:19" x14ac:dyDescent="0.55000000000000004">
      <c r="A7" t="s">
        <v>31</v>
      </c>
      <c r="B7" s="2">
        <f t="shared" si="0"/>
        <v>4546.1371916116595</v>
      </c>
      <c r="C7">
        <f t="shared" si="1"/>
        <v>4.0865587282490452</v>
      </c>
      <c r="D7" s="5">
        <v>4.0865587282490456E-2</v>
      </c>
      <c r="F7">
        <v>-4546.1371916116595</v>
      </c>
      <c r="G7">
        <f t="shared" si="2"/>
        <v>4546.1371916116595</v>
      </c>
      <c r="H7">
        <v>1</v>
      </c>
      <c r="J7" t="s">
        <v>15</v>
      </c>
      <c r="K7">
        <v>-1.1249055734020801</v>
      </c>
      <c r="L7">
        <f t="shared" si="3"/>
        <v>1.1249055734020801</v>
      </c>
      <c r="M7" s="2">
        <f t="shared" si="4"/>
        <v>11249.055734020802</v>
      </c>
      <c r="P7" t="s">
        <v>15</v>
      </c>
      <c r="Q7">
        <v>-47558151538.516899</v>
      </c>
      <c r="R7">
        <f t="shared" si="5"/>
        <v>47558151538.516899</v>
      </c>
    </row>
    <row r="8" spans="1:19" x14ac:dyDescent="0.55000000000000004">
      <c r="A8" t="s">
        <v>114</v>
      </c>
      <c r="B8" s="2">
        <f t="shared" si="0"/>
        <v>3864.9606314953598</v>
      </c>
      <c r="C8">
        <f t="shared" si="1"/>
        <v>2.5355205829928206E-3</v>
      </c>
      <c r="D8" s="5">
        <v>2.5355205829928206E-5</v>
      </c>
      <c r="F8">
        <v>-3864.9606314953598</v>
      </c>
      <c r="G8">
        <f t="shared" si="2"/>
        <v>3864.9606314953598</v>
      </c>
      <c r="H8">
        <v>1</v>
      </c>
      <c r="J8" t="s">
        <v>17</v>
      </c>
      <c r="K8">
        <v>6.9795185263528501E-4</v>
      </c>
      <c r="L8">
        <f t="shared" si="3"/>
        <v>6.9795185263528501E-4</v>
      </c>
      <c r="M8" s="2">
        <f t="shared" si="4"/>
        <v>6.9795185263528499</v>
      </c>
      <c r="P8" t="s">
        <v>17</v>
      </c>
      <c r="Q8">
        <v>-47558151501.504097</v>
      </c>
      <c r="R8">
        <f t="shared" si="5"/>
        <v>47558151501.504097</v>
      </c>
    </row>
    <row r="9" spans="1:19" x14ac:dyDescent="0.55000000000000004">
      <c r="A9" t="s">
        <v>22</v>
      </c>
      <c r="B9" s="2">
        <f t="shared" si="0"/>
        <v>3717.4286728288598</v>
      </c>
      <c r="C9">
        <f t="shared" si="1"/>
        <v>2.73157415440813</v>
      </c>
      <c r="D9" s="5">
        <v>2.7315741544081298E-2</v>
      </c>
      <c r="F9">
        <v>-3717.4286728288598</v>
      </c>
      <c r="G9">
        <f t="shared" si="2"/>
        <v>3717.4286728288598</v>
      </c>
      <c r="H9">
        <v>1</v>
      </c>
      <c r="J9" t="s">
        <v>11</v>
      </c>
      <c r="K9">
        <v>-0.75191944978393999</v>
      </c>
      <c r="L9">
        <f t="shared" si="3"/>
        <v>0.75191944978393999</v>
      </c>
      <c r="M9" s="2">
        <f t="shared" si="4"/>
        <v>7519.1944978393994</v>
      </c>
      <c r="P9" t="s">
        <v>11</v>
      </c>
      <c r="Q9">
        <v>-47558151519.471199</v>
      </c>
      <c r="R9">
        <f t="shared" si="5"/>
        <v>47558151519.471199</v>
      </c>
    </row>
    <row r="10" spans="1:19" x14ac:dyDescent="0.55000000000000004">
      <c r="A10" t="s">
        <v>2</v>
      </c>
      <c r="B10" s="2">
        <f t="shared" si="0"/>
        <v>3380.11165107341</v>
      </c>
      <c r="C10">
        <f t="shared" si="1"/>
        <v>6.5122565787820275</v>
      </c>
      <c r="D10" s="5">
        <v>6.5122565787820275E-2</v>
      </c>
      <c r="F10">
        <v>-3380.11165107341</v>
      </c>
      <c r="G10">
        <f t="shared" si="2"/>
        <v>3380.11165107341</v>
      </c>
      <c r="H10">
        <v>1</v>
      </c>
      <c r="J10" t="s">
        <v>22</v>
      </c>
      <c r="K10">
        <v>-1.7926265613794501</v>
      </c>
      <c r="L10">
        <f t="shared" si="3"/>
        <v>1.7926265613794501</v>
      </c>
      <c r="M10" s="2">
        <f t="shared" si="4"/>
        <v>17926.265613794501</v>
      </c>
      <c r="P10" t="s">
        <v>22</v>
      </c>
      <c r="Q10">
        <v>-47558151534.799301</v>
      </c>
      <c r="R10">
        <f t="shared" si="5"/>
        <v>47558151534.799301</v>
      </c>
    </row>
    <row r="11" spans="1:19" x14ac:dyDescent="0.55000000000000004">
      <c r="A11" t="s">
        <v>3</v>
      </c>
      <c r="B11" s="2">
        <f t="shared" si="0"/>
        <v>359.06973796100903</v>
      </c>
      <c r="C11">
        <f t="shared" si="1"/>
        <v>4.0919185880536686</v>
      </c>
      <c r="D11" s="5">
        <v>4.0919185880536682E-2</v>
      </c>
      <c r="F11">
        <v>-359.06973796100903</v>
      </c>
      <c r="G11">
        <f t="shared" si="2"/>
        <v>359.06973796100903</v>
      </c>
      <c r="H11">
        <v>1</v>
      </c>
      <c r="J11" t="s">
        <v>13</v>
      </c>
      <c r="K11">
        <v>-1.12638098011169</v>
      </c>
      <c r="L11">
        <f t="shared" si="3"/>
        <v>1.12638098011169</v>
      </c>
      <c r="M11" s="2">
        <f t="shared" si="4"/>
        <v>11263.8098011169</v>
      </c>
      <c r="P11" t="s">
        <v>13</v>
      </c>
      <c r="Q11">
        <v>-47558151536.455704</v>
      </c>
      <c r="R11">
        <f t="shared" si="5"/>
        <v>47558151536.455704</v>
      </c>
    </row>
    <row r="12" spans="1:19" x14ac:dyDescent="0.55000000000000004">
      <c r="A12" t="s">
        <v>115</v>
      </c>
      <c r="B12" s="2">
        <f t="shared" si="0"/>
        <v>4338.1532858451501</v>
      </c>
      <c r="C12">
        <f t="shared" si="1"/>
        <v>3.3759106262274576</v>
      </c>
      <c r="D12" s="5">
        <v>3.3759106262274574E-2</v>
      </c>
      <c r="F12">
        <v>-4338.1532858451501</v>
      </c>
      <c r="G12">
        <f t="shared" si="2"/>
        <v>4338.1532858451501</v>
      </c>
      <c r="H12">
        <v>1</v>
      </c>
      <c r="J12" t="s">
        <v>19</v>
      </c>
      <c r="K12">
        <v>-0.92928572211605298</v>
      </c>
      <c r="L12">
        <f t="shared" si="3"/>
        <v>0.92928572211605298</v>
      </c>
      <c r="M12" s="2">
        <f t="shared" si="4"/>
        <v>9292.8572211605297</v>
      </c>
      <c r="P12" t="s">
        <v>19</v>
      </c>
      <c r="Q12">
        <v>-47558151538.572197</v>
      </c>
      <c r="R12">
        <f t="shared" si="5"/>
        <v>47558151538.572197</v>
      </c>
    </row>
    <row r="13" spans="1:19" x14ac:dyDescent="0.55000000000000004">
      <c r="A13" t="s">
        <v>116</v>
      </c>
      <c r="B13" s="2">
        <f t="shared" si="0"/>
        <v>2483.0032175441502</v>
      </c>
      <c r="C13">
        <f t="shared" si="1"/>
        <v>3.0804617005134776</v>
      </c>
      <c r="D13" s="5">
        <v>3.0804617005134777E-2</v>
      </c>
      <c r="F13">
        <v>-2483.0032175441502</v>
      </c>
      <c r="G13">
        <f t="shared" si="2"/>
        <v>2483.0032175441502</v>
      </c>
      <c r="H13">
        <v>1</v>
      </c>
      <c r="J13" t="s">
        <v>9</v>
      </c>
      <c r="K13">
        <v>-0.84795760100185702</v>
      </c>
      <c r="L13">
        <f t="shared" si="3"/>
        <v>0.84795760100185702</v>
      </c>
      <c r="M13" s="2">
        <f t="shared" si="4"/>
        <v>8479.5760100185707</v>
      </c>
      <c r="P13" t="s">
        <v>9</v>
      </c>
      <c r="Q13">
        <v>-47558151518.338898</v>
      </c>
      <c r="R13">
        <f t="shared" si="5"/>
        <v>47558151518.338898</v>
      </c>
    </row>
    <row r="14" spans="1:19" x14ac:dyDescent="0.55000000000000004">
      <c r="A14" t="s">
        <v>24</v>
      </c>
      <c r="B14" s="2">
        <f t="shared" si="0"/>
        <v>3665.93665618565</v>
      </c>
      <c r="C14">
        <f t="shared" si="1"/>
        <v>3.4541609086999605</v>
      </c>
      <c r="D14" s="5">
        <v>3.4541609086999603E-2</v>
      </c>
      <c r="F14">
        <v>-3665.93665618565</v>
      </c>
      <c r="G14">
        <f t="shared" si="2"/>
        <v>3665.93665618565</v>
      </c>
      <c r="H14">
        <v>1</v>
      </c>
      <c r="J14" t="s">
        <v>2</v>
      </c>
      <c r="K14">
        <v>-0.95082564965095495</v>
      </c>
      <c r="L14">
        <f t="shared" si="3"/>
        <v>0.95082564965095495</v>
      </c>
      <c r="M14" s="2">
        <f t="shared" si="4"/>
        <v>9508.2564965095498</v>
      </c>
      <c r="P14" t="s">
        <v>2</v>
      </c>
      <c r="Q14">
        <v>-47558151538.502197</v>
      </c>
      <c r="R14">
        <f t="shared" si="5"/>
        <v>47558151538.502197</v>
      </c>
    </row>
    <row r="15" spans="1:19" x14ac:dyDescent="0.55000000000000004">
      <c r="A15" t="s">
        <v>117</v>
      </c>
      <c r="B15" s="2">
        <f t="shared" si="0"/>
        <v>3571.80621322855</v>
      </c>
      <c r="C15">
        <f t="shared" si="1"/>
        <v>6.9494586347566167E-2</v>
      </c>
      <c r="D15" s="5">
        <v>6.9494586347566161E-4</v>
      </c>
      <c r="F15">
        <v>-3571.80621322855</v>
      </c>
      <c r="G15">
        <f t="shared" si="2"/>
        <v>3571.80621322855</v>
      </c>
      <c r="H15">
        <v>1</v>
      </c>
      <c r="J15" t="s">
        <v>3</v>
      </c>
      <c r="K15">
        <v>-1.9129750164423701E-2</v>
      </c>
      <c r="L15">
        <f t="shared" si="3"/>
        <v>1.9129750164423701E-2</v>
      </c>
      <c r="M15" s="2">
        <f t="shared" si="4"/>
        <v>191.297501644237</v>
      </c>
      <c r="P15" t="s">
        <v>3</v>
      </c>
      <c r="Q15">
        <v>-47558151516.982903</v>
      </c>
      <c r="R15">
        <f t="shared" si="5"/>
        <v>47558151516.982903</v>
      </c>
    </row>
    <row r="16" spans="1:19" x14ac:dyDescent="0.55000000000000004">
      <c r="A16" t="s">
        <v>16</v>
      </c>
      <c r="B16" s="2">
        <f t="shared" si="0"/>
        <v>4537.0375121915004</v>
      </c>
      <c r="C16">
        <f t="shared" si="1"/>
        <v>3.809759095613316</v>
      </c>
      <c r="D16" s="5">
        <v>3.8097590956133159E-2</v>
      </c>
      <c r="F16">
        <v>-4537.0375121915004</v>
      </c>
      <c r="G16">
        <f t="shared" si="2"/>
        <v>4537.0375121915004</v>
      </c>
      <c r="H16">
        <v>1</v>
      </c>
      <c r="J16" t="s">
        <v>23</v>
      </c>
      <c r="K16">
        <v>-1.04871103658675</v>
      </c>
      <c r="L16">
        <f t="shared" si="3"/>
        <v>1.04871103658675</v>
      </c>
      <c r="M16" s="2">
        <f t="shared" si="4"/>
        <v>10487.1103658675</v>
      </c>
      <c r="P16" t="s">
        <v>23</v>
      </c>
      <c r="Q16">
        <v>-47558151536.643997</v>
      </c>
      <c r="R16">
        <f t="shared" si="5"/>
        <v>47558151536.643997</v>
      </c>
    </row>
    <row r="17" spans="1:18" x14ac:dyDescent="0.55000000000000004">
      <c r="A17" t="s">
        <v>118</v>
      </c>
      <c r="B17" s="2">
        <f t="shared" si="0"/>
        <v>3638.6384317482102</v>
      </c>
      <c r="C17">
        <f t="shared" si="1"/>
        <v>3.7262018249548277</v>
      </c>
      <c r="D17" s="5">
        <v>3.7262018249548279E-2</v>
      </c>
      <c r="F17">
        <v>-3638.6384317482102</v>
      </c>
      <c r="G17">
        <f t="shared" si="2"/>
        <v>3638.6384317482102</v>
      </c>
      <c r="H17">
        <v>1</v>
      </c>
      <c r="J17" t="s">
        <v>18</v>
      </c>
      <c r="K17">
        <v>-1.0257102562939699</v>
      </c>
      <c r="L17">
        <f t="shared" si="3"/>
        <v>1.0257102562939699</v>
      </c>
      <c r="M17" s="2">
        <f t="shared" si="4"/>
        <v>10257.102562939699</v>
      </c>
      <c r="P17" t="s">
        <v>18</v>
      </c>
      <c r="Q17">
        <v>-47558151537.364304</v>
      </c>
      <c r="R17">
        <f t="shared" si="5"/>
        <v>47558151537.364304</v>
      </c>
    </row>
    <row r="18" spans="1:18" x14ac:dyDescent="0.55000000000000004">
      <c r="A18" t="s">
        <v>7</v>
      </c>
      <c r="B18" s="2">
        <f t="shared" si="0"/>
        <v>3583.8819145775601</v>
      </c>
      <c r="C18">
        <f t="shared" si="1"/>
        <v>3.8800243304220281</v>
      </c>
      <c r="D18" s="5">
        <v>3.8800243304220279E-2</v>
      </c>
      <c r="F18">
        <v>-3583.8819145775601</v>
      </c>
      <c r="G18">
        <f t="shared" si="2"/>
        <v>3583.8819145775601</v>
      </c>
      <c r="H18">
        <v>1</v>
      </c>
      <c r="J18" t="s">
        <v>6</v>
      </c>
      <c r="K18">
        <v>-1.0680529228800599</v>
      </c>
      <c r="L18">
        <f t="shared" si="3"/>
        <v>1.0680529228800599</v>
      </c>
      <c r="M18" s="2">
        <f t="shared" si="4"/>
        <v>10680.529228800599</v>
      </c>
      <c r="P18" t="s">
        <v>6</v>
      </c>
      <c r="Q18">
        <v>-47558151538.089798</v>
      </c>
      <c r="R18">
        <f t="shared" si="5"/>
        <v>47558151538.089798</v>
      </c>
    </row>
    <row r="19" spans="1:18" x14ac:dyDescent="0.55000000000000004">
      <c r="A19" t="s">
        <v>5</v>
      </c>
      <c r="B19" s="2">
        <f t="shared" si="0"/>
        <v>1356.62720225781</v>
      </c>
      <c r="C19">
        <f t="shared" si="1"/>
        <v>4.9475496843699966</v>
      </c>
      <c r="D19" s="5">
        <v>4.9475496843699965E-2</v>
      </c>
      <c r="F19">
        <v>-1356.62720225781</v>
      </c>
      <c r="G19">
        <f t="shared" si="2"/>
        <v>1356.62720225781</v>
      </c>
      <c r="H19">
        <v>1</v>
      </c>
      <c r="J19" t="s">
        <v>24</v>
      </c>
      <c r="K19">
        <v>-1.36191024887489</v>
      </c>
      <c r="L19">
        <f t="shared" si="3"/>
        <v>1.36191024887489</v>
      </c>
      <c r="M19" s="2">
        <f t="shared" si="4"/>
        <v>13619.1024887489</v>
      </c>
      <c r="P19" t="s">
        <v>24</v>
      </c>
      <c r="Q19">
        <v>-47558151468.210999</v>
      </c>
      <c r="R19">
        <f t="shared" si="5"/>
        <v>47558151468.210999</v>
      </c>
    </row>
    <row r="20" spans="1:18" x14ac:dyDescent="0.55000000000000004">
      <c r="A20" t="s">
        <v>4</v>
      </c>
      <c r="B20" s="2">
        <f t="shared" si="0"/>
        <v>3442.4540629844</v>
      </c>
      <c r="C20">
        <f t="shared" si="1"/>
        <v>4.5926698988093833</v>
      </c>
      <c r="D20" s="5">
        <v>4.5926698988093831E-2</v>
      </c>
      <c r="F20">
        <v>-3442.4540629844</v>
      </c>
      <c r="G20">
        <f t="shared" si="2"/>
        <v>3442.4540629844</v>
      </c>
      <c r="H20">
        <v>1</v>
      </c>
      <c r="J20" t="s">
        <v>16</v>
      </c>
      <c r="K20">
        <v>-1.2642226160249601</v>
      </c>
      <c r="L20">
        <f t="shared" si="3"/>
        <v>1.2642226160249601</v>
      </c>
      <c r="M20" s="2">
        <f t="shared" si="4"/>
        <v>12642.226160249602</v>
      </c>
      <c r="P20" t="s">
        <v>16</v>
      </c>
      <c r="Q20">
        <v>-47558151537.864502</v>
      </c>
      <c r="R20">
        <f t="shared" si="5"/>
        <v>47558151537.864502</v>
      </c>
    </row>
    <row r="21" spans="1:18" x14ac:dyDescent="0.55000000000000004">
      <c r="A21" t="s">
        <v>12</v>
      </c>
      <c r="B21" s="2">
        <f t="shared" si="0"/>
        <v>5563.0720679203496</v>
      </c>
      <c r="C21">
        <f t="shared" si="1"/>
        <v>4.018911741337388</v>
      </c>
      <c r="D21" s="5">
        <v>4.018911741337388E-2</v>
      </c>
      <c r="F21">
        <v>-5563.0720679203496</v>
      </c>
      <c r="G21">
        <f t="shared" si="2"/>
        <v>5563.0720679203496</v>
      </c>
      <c r="H21">
        <v>1</v>
      </c>
      <c r="J21" t="s">
        <v>7</v>
      </c>
      <c r="K21">
        <v>-1.10628441127984</v>
      </c>
      <c r="L21">
        <f t="shared" si="3"/>
        <v>1.10628441127984</v>
      </c>
      <c r="M21" s="2">
        <f t="shared" si="4"/>
        <v>11062.844112798401</v>
      </c>
      <c r="P21" t="s">
        <v>7</v>
      </c>
      <c r="Q21">
        <v>-47558151534.660599</v>
      </c>
      <c r="R21">
        <f t="shared" si="5"/>
        <v>47558151534.660599</v>
      </c>
    </row>
    <row r="22" spans="1:18" x14ac:dyDescent="0.55000000000000004">
      <c r="A22" t="s">
        <v>119</v>
      </c>
      <c r="B22" s="2">
        <f t="shared" si="0"/>
        <v>4917.7742354538595</v>
      </c>
      <c r="C22">
        <f t="shared" si="1"/>
        <v>3.8866480103361676</v>
      </c>
      <c r="D22" s="5">
        <v>3.8866480103361675E-2</v>
      </c>
      <c r="F22">
        <v>-4917.7742354538595</v>
      </c>
      <c r="G22">
        <f t="shared" si="2"/>
        <v>4917.7742354538595</v>
      </c>
      <c r="H22">
        <v>1</v>
      </c>
      <c r="J22" t="s">
        <v>8</v>
      </c>
      <c r="K22">
        <v>-1.06987622090349</v>
      </c>
      <c r="L22">
        <f t="shared" si="3"/>
        <v>1.06987622090349</v>
      </c>
      <c r="M22" s="2">
        <f t="shared" si="4"/>
        <v>10698.7622090349</v>
      </c>
      <c r="P22" t="s">
        <v>8</v>
      </c>
      <c r="Q22">
        <v>-47558151518.916901</v>
      </c>
      <c r="R22">
        <f t="shared" si="5"/>
        <v>47558151518.916901</v>
      </c>
    </row>
    <row r="23" spans="1:18" x14ac:dyDescent="0.55000000000000004">
      <c r="A23" t="s">
        <v>0</v>
      </c>
      <c r="B23" s="2">
        <f t="shared" si="0"/>
        <v>563.91858008718305</v>
      </c>
      <c r="C23">
        <f t="shared" si="1"/>
        <v>2.9046661418242752</v>
      </c>
      <c r="D23" s="5">
        <v>2.9046661418242751E-2</v>
      </c>
      <c r="F23">
        <v>-563.91858008718305</v>
      </c>
      <c r="G23">
        <f t="shared" si="2"/>
        <v>563.91858008718305</v>
      </c>
      <c r="H23">
        <v>1</v>
      </c>
      <c r="J23" t="s">
        <v>5</v>
      </c>
      <c r="K23">
        <v>-0.79956641983962096</v>
      </c>
      <c r="L23">
        <f t="shared" si="3"/>
        <v>0.79956641983962096</v>
      </c>
      <c r="M23" s="2">
        <f t="shared" si="4"/>
        <v>7995.6641983962099</v>
      </c>
      <c r="P23" t="s">
        <v>5</v>
      </c>
      <c r="Q23">
        <v>-47558151522.879601</v>
      </c>
      <c r="R23">
        <f t="shared" si="5"/>
        <v>47558151522.879601</v>
      </c>
    </row>
    <row r="24" spans="1:18" x14ac:dyDescent="0.55000000000000004">
      <c r="A24" t="s">
        <v>120</v>
      </c>
      <c r="B24" s="2">
        <f>G24*H24</f>
        <v>4564.3366077788996</v>
      </c>
      <c r="C24">
        <f t="shared" ref="C24" si="6">D24*100</f>
        <v>2.9046661418242752</v>
      </c>
      <c r="D24" s="5">
        <v>2.9046661418242751E-2</v>
      </c>
      <c r="F24">
        <v>-4564.3366077788996</v>
      </c>
      <c r="G24">
        <f t="shared" si="2"/>
        <v>4564.3366077788996</v>
      </c>
      <c r="H24">
        <v>1</v>
      </c>
      <c r="M24" s="2"/>
    </row>
    <row r="25" spans="1:18" x14ac:dyDescent="0.55000000000000004">
      <c r="C25" s="2"/>
      <c r="E25" s="5"/>
      <c r="H25" s="2"/>
      <c r="N25" s="2"/>
    </row>
    <row r="26" spans="1:18" x14ac:dyDescent="0.55000000000000004">
      <c r="C26" s="2"/>
      <c r="E26" s="5"/>
      <c r="H26" s="2"/>
      <c r="N26" s="2"/>
    </row>
    <row r="27" spans="1:18" x14ac:dyDescent="0.55000000000000004">
      <c r="C27" s="2"/>
      <c r="E27" s="5"/>
      <c r="H27" s="2"/>
      <c r="N27" s="2"/>
    </row>
    <row r="28" spans="1:18" x14ac:dyDescent="0.55000000000000004">
      <c r="B28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0BB8-0D51-484F-BF4C-CFB0EAC4F580}">
  <dimension ref="A1:O11"/>
  <sheetViews>
    <sheetView tabSelected="1" workbookViewId="0">
      <selection activeCell="B8" sqref="B8"/>
    </sheetView>
  </sheetViews>
  <sheetFormatPr defaultRowHeight="14.4" x14ac:dyDescent="0.55000000000000004"/>
  <cols>
    <col min="1" max="1" width="22.5234375" bestFit="1" customWidth="1"/>
    <col min="2" max="2" width="21.1015625" customWidth="1"/>
    <col min="4" max="4" width="18.62890625" bestFit="1" customWidth="1"/>
    <col min="6" max="6" width="14.26171875" bestFit="1" customWidth="1"/>
    <col min="8" max="8" width="24.734375" bestFit="1" customWidth="1"/>
    <col min="9" max="9" width="11.68359375" bestFit="1" customWidth="1"/>
    <col min="10" max="10" width="19.89453125" bestFit="1" customWidth="1"/>
    <col min="11" max="11" width="13.26171875" bestFit="1" customWidth="1"/>
    <col min="15" max="15" width="11.68359375" bestFit="1" customWidth="1"/>
  </cols>
  <sheetData>
    <row r="1" spans="1:15" x14ac:dyDescent="0.55000000000000004">
      <c r="A1" t="s">
        <v>41</v>
      </c>
      <c r="B1" t="s">
        <v>27</v>
      </c>
    </row>
    <row r="2" spans="1:15" x14ac:dyDescent="0.55000000000000004">
      <c r="A2" t="s">
        <v>37</v>
      </c>
      <c r="B2">
        <f>C2*100</f>
        <v>4151543152427.9502</v>
      </c>
      <c r="C2">
        <v>41515431524.279503</v>
      </c>
      <c r="D2" s="4">
        <v>5785716216.8679199</v>
      </c>
      <c r="F2" s="4">
        <v>993016214.36666298</v>
      </c>
      <c r="H2" t="s">
        <v>37</v>
      </c>
      <c r="I2" t="s">
        <v>97</v>
      </c>
      <c r="J2" s="4">
        <v>-2316660392964930</v>
      </c>
      <c r="K2">
        <f>ABS(J2)</f>
        <v>2316660392964930</v>
      </c>
      <c r="L2" s="3"/>
      <c r="M2" s="4" t="s">
        <v>99</v>
      </c>
      <c r="N2">
        <v>-46819806907.036903</v>
      </c>
      <c r="O2">
        <f>ABS(N2)</f>
        <v>46819806907.036903</v>
      </c>
    </row>
    <row r="3" spans="1:15" x14ac:dyDescent="0.55000000000000004">
      <c r="A3" t="s">
        <v>38</v>
      </c>
      <c r="B3">
        <f>C3*1000000</f>
        <v>7.2356434551206688E+16</v>
      </c>
      <c r="C3">
        <v>72356434551.206696</v>
      </c>
      <c r="D3" s="4">
        <v>8541114288.6128502</v>
      </c>
      <c r="F3" s="4">
        <v>10125175173.9128</v>
      </c>
      <c r="H3" t="s">
        <v>38</v>
      </c>
      <c r="I3" t="s">
        <v>97</v>
      </c>
      <c r="J3" s="4">
        <v>-1264076215273100</v>
      </c>
      <c r="K3">
        <f t="shared" ref="K3:K5" si="0">ABS(J3)</f>
        <v>1264076215273100</v>
      </c>
      <c r="L3" s="3"/>
      <c r="M3" s="4" t="s">
        <v>100</v>
      </c>
      <c r="N3">
        <v>69108487172.9375</v>
      </c>
      <c r="O3">
        <f t="shared" ref="O3:O5" si="1">ABS(N3)</f>
        <v>69108487172.9375</v>
      </c>
    </row>
    <row r="4" spans="1:15" x14ac:dyDescent="0.55000000000000004">
      <c r="A4" t="s">
        <v>39</v>
      </c>
      <c r="B4">
        <f>C4</f>
        <v>41390171589.325401</v>
      </c>
      <c r="C4">
        <v>41390171589.325401</v>
      </c>
      <c r="D4" s="4">
        <v>5750037267.0641899</v>
      </c>
      <c r="F4" s="4">
        <v>995083027.29773295</v>
      </c>
      <c r="H4" t="s">
        <v>39</v>
      </c>
      <c r="I4" t="s">
        <v>97</v>
      </c>
      <c r="J4" s="4">
        <v>-2314992283979680</v>
      </c>
      <c r="K4">
        <f t="shared" si="0"/>
        <v>2314992283979680</v>
      </c>
      <c r="L4" s="3"/>
      <c r="M4" s="4" t="s">
        <v>101</v>
      </c>
      <c r="N4">
        <v>-46540159645.891602</v>
      </c>
      <c r="O4">
        <f t="shared" si="1"/>
        <v>46540159645.891602</v>
      </c>
    </row>
    <row r="5" spans="1:15" x14ac:dyDescent="0.55000000000000004">
      <c r="A5" t="s">
        <v>40</v>
      </c>
      <c r="B5">
        <f>C5</f>
        <v>43741052365.028999</v>
      </c>
      <c r="C5">
        <v>43741052365.028999</v>
      </c>
      <c r="D5" s="4">
        <v>6430284841.5888796</v>
      </c>
      <c r="F5" s="4">
        <v>727880394.53738499</v>
      </c>
      <c r="H5" t="s">
        <v>40</v>
      </c>
      <c r="I5" t="s">
        <v>97</v>
      </c>
      <c r="J5" s="8">
        <v>-2345018475714150</v>
      </c>
      <c r="K5">
        <f t="shared" si="0"/>
        <v>2345018475714150</v>
      </c>
      <c r="L5" s="6"/>
      <c r="M5" s="4" t="s">
        <v>102</v>
      </c>
      <c r="N5">
        <v>-52013153517.589401</v>
      </c>
      <c r="O5">
        <f t="shared" si="1"/>
        <v>52013153517.589401</v>
      </c>
    </row>
    <row r="6" spans="1:15" x14ac:dyDescent="0.55000000000000004">
      <c r="A6" t="s">
        <v>104</v>
      </c>
      <c r="B6" s="1">
        <f>E6*100000000</f>
        <v>126269210919.21599</v>
      </c>
      <c r="D6" t="s">
        <v>105</v>
      </c>
      <c r="E6">
        <v>1262.6921091921599</v>
      </c>
      <c r="H6" s="7"/>
      <c r="J6" s="6"/>
    </row>
    <row r="7" spans="1:15" x14ac:dyDescent="0.55000000000000004">
      <c r="A7" t="s">
        <v>106</v>
      </c>
      <c r="B7" s="1">
        <f>E7*10000</f>
        <v>821345180424488.13</v>
      </c>
      <c r="D7" t="s">
        <v>107</v>
      </c>
      <c r="E7">
        <v>82134518042.448807</v>
      </c>
      <c r="H7" s="7"/>
      <c r="J7" s="6"/>
    </row>
    <row r="8" spans="1:15" x14ac:dyDescent="0.55000000000000004">
      <c r="A8" t="s">
        <v>108</v>
      </c>
      <c r="B8" s="1">
        <f>E8*100</f>
        <v>8213444181706.96</v>
      </c>
      <c r="D8" t="s">
        <v>109</v>
      </c>
      <c r="E8">
        <v>82134441817.069595</v>
      </c>
      <c r="H8" s="7"/>
      <c r="J8" s="6"/>
    </row>
    <row r="9" spans="1:15" x14ac:dyDescent="0.55000000000000004">
      <c r="A9" t="s">
        <v>110</v>
      </c>
      <c r="B9" s="1">
        <f>821345180424.488*10</f>
        <v>8213451804244.8809</v>
      </c>
      <c r="D9" s="9"/>
    </row>
    <row r="10" spans="1:15" x14ac:dyDescent="0.55000000000000004">
      <c r="A10" t="s">
        <v>111</v>
      </c>
      <c r="B10" s="1">
        <v>8213</v>
      </c>
      <c r="D10" s="9"/>
    </row>
    <row r="11" spans="1:15" x14ac:dyDescent="0.55000000000000004">
      <c r="A11" t="s">
        <v>112</v>
      </c>
      <c r="B11">
        <v>8213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BAB-89FE-41CB-BECD-E34F5B882C73}">
  <dimension ref="A1:H17"/>
  <sheetViews>
    <sheetView workbookViewId="0">
      <selection activeCell="B2" sqref="B2"/>
    </sheetView>
  </sheetViews>
  <sheetFormatPr defaultRowHeight="14.4" x14ac:dyDescent="0.55000000000000004"/>
  <cols>
    <col min="1" max="1" width="18.83984375" bestFit="1" customWidth="1"/>
    <col min="2" max="2" width="16.89453125" bestFit="1" customWidth="1"/>
    <col min="3" max="3" width="12.26171875" bestFit="1" customWidth="1"/>
    <col min="6" max="6" width="12.26171875" bestFit="1" customWidth="1"/>
    <col min="10" max="10" width="11.68359375" bestFit="1" customWidth="1"/>
  </cols>
  <sheetData>
    <row r="1" spans="1:8" x14ac:dyDescent="0.55000000000000004">
      <c r="A1" t="s">
        <v>41</v>
      </c>
      <c r="B1" t="s">
        <v>27</v>
      </c>
    </row>
    <row r="2" spans="1:8" x14ac:dyDescent="0.55000000000000004">
      <c r="A2" t="s">
        <v>37</v>
      </c>
      <c r="B2" s="2">
        <f>ABS(B12)</f>
        <v>26652460125.812801</v>
      </c>
      <c r="C2" t="s">
        <v>42</v>
      </c>
    </row>
    <row r="3" spans="1:8" x14ac:dyDescent="0.55000000000000004">
      <c r="A3" t="s">
        <v>38</v>
      </c>
      <c r="B3" s="2">
        <f t="shared" ref="B3:B5" si="0">ABS(B13)</f>
        <v>6135932.943</v>
      </c>
    </row>
    <row r="4" spans="1:8" x14ac:dyDescent="0.55000000000000004">
      <c r="A4" t="s">
        <v>39</v>
      </c>
      <c r="B4" s="2">
        <f t="shared" si="0"/>
        <v>26504431106.983799</v>
      </c>
      <c r="C4" t="s">
        <v>42</v>
      </c>
      <c r="H4" s="1"/>
    </row>
    <row r="5" spans="1:8" x14ac:dyDescent="0.55000000000000004">
      <c r="A5" t="s">
        <v>40</v>
      </c>
      <c r="B5" s="2">
        <f t="shared" si="0"/>
        <v>29024888276.128399</v>
      </c>
      <c r="C5" t="s">
        <v>42</v>
      </c>
      <c r="H5" s="1"/>
    </row>
    <row r="6" spans="1:8" x14ac:dyDescent="0.55000000000000004">
      <c r="A6" t="s">
        <v>45</v>
      </c>
      <c r="B6" s="2">
        <f>ABS(B16)</f>
        <v>61409503426.577103</v>
      </c>
      <c r="H6" s="1"/>
    </row>
    <row r="7" spans="1:8" x14ac:dyDescent="0.55000000000000004">
      <c r="A7" t="s">
        <v>46</v>
      </c>
      <c r="B7" s="2">
        <f>ABS(B17)</f>
        <v>61409504195.486198</v>
      </c>
      <c r="F7" s="1">
        <v>4812239915.1750002</v>
      </c>
    </row>
    <row r="8" spans="1:8" x14ac:dyDescent="0.55000000000000004">
      <c r="A8" t="s">
        <v>50</v>
      </c>
      <c r="B8" s="2">
        <f>1.1*B17</f>
        <v>67550454615.034821</v>
      </c>
      <c r="F8" s="1"/>
    </row>
    <row r="11" spans="1:8" x14ac:dyDescent="0.55000000000000004">
      <c r="A11" t="s">
        <v>47</v>
      </c>
    </row>
    <row r="12" spans="1:8" x14ac:dyDescent="0.55000000000000004">
      <c r="A12" t="s">
        <v>37</v>
      </c>
      <c r="B12">
        <v>-26652460125.812801</v>
      </c>
    </row>
    <row r="13" spans="1:8" x14ac:dyDescent="0.55000000000000004">
      <c r="A13" t="s">
        <v>38</v>
      </c>
      <c r="B13">
        <v>-6135932.943</v>
      </c>
    </row>
    <row r="14" spans="1:8" x14ac:dyDescent="0.55000000000000004">
      <c r="A14" t="s">
        <v>39</v>
      </c>
      <c r="B14">
        <v>-26504431106.983799</v>
      </c>
    </row>
    <row r="15" spans="1:8" x14ac:dyDescent="0.55000000000000004">
      <c r="A15" t="s">
        <v>40</v>
      </c>
      <c r="B15">
        <v>-29024888276.128399</v>
      </c>
    </row>
    <row r="16" spans="1:8" x14ac:dyDescent="0.55000000000000004">
      <c r="A16" t="s">
        <v>48</v>
      </c>
      <c r="B16">
        <v>61409503426.577103</v>
      </c>
    </row>
    <row r="17" spans="1:2" x14ac:dyDescent="0.55000000000000004">
      <c r="A17" t="s">
        <v>49</v>
      </c>
      <c r="B17">
        <v>61409504195.486198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9A4B-084F-46D6-98B2-85C342C7D34A}">
  <dimension ref="A1:C27"/>
  <sheetViews>
    <sheetView workbookViewId="0">
      <selection activeCell="C11" sqref="C11"/>
    </sheetView>
  </sheetViews>
  <sheetFormatPr defaultRowHeight="14.4" x14ac:dyDescent="0.55000000000000004"/>
  <cols>
    <col min="2" max="3" width="12.26171875" bestFit="1" customWidth="1"/>
  </cols>
  <sheetData>
    <row r="1" spans="1:3" x14ac:dyDescent="0.55000000000000004">
      <c r="A1" t="s">
        <v>26</v>
      </c>
      <c r="B1" t="s">
        <v>27</v>
      </c>
      <c r="C1" t="s">
        <v>44</v>
      </c>
    </row>
    <row r="2" spans="1:3" x14ac:dyDescent="0.55000000000000004">
      <c r="A2" t="s">
        <v>0</v>
      </c>
      <c r="B2" s="2">
        <f>ABS(C2)</f>
        <v>39799167.711999997</v>
      </c>
      <c r="C2">
        <v>-39799167.711999997</v>
      </c>
    </row>
    <row r="3" spans="1:3" x14ac:dyDescent="0.55000000000000004">
      <c r="A3" t="s">
        <v>1</v>
      </c>
      <c r="B3">
        <f t="shared" ref="B3:B27" si="0">ABS(C3)</f>
        <v>39799168.606799997</v>
      </c>
      <c r="C3">
        <v>-39799168.606799997</v>
      </c>
    </row>
    <row r="4" spans="1:3" x14ac:dyDescent="0.55000000000000004">
      <c r="A4" t="s">
        <v>2</v>
      </c>
      <c r="B4">
        <f t="shared" si="0"/>
        <v>39799168.258599997</v>
      </c>
      <c r="C4">
        <v>-39799168.258599997</v>
      </c>
    </row>
    <row r="5" spans="1:3" x14ac:dyDescent="0.55000000000000004">
      <c r="A5" t="s">
        <v>3</v>
      </c>
      <c r="B5">
        <f t="shared" si="0"/>
        <v>39799167.671899997</v>
      </c>
      <c r="C5">
        <v>-39799167.671899997</v>
      </c>
    </row>
    <row r="6" spans="1:3" x14ac:dyDescent="0.55000000000000004">
      <c r="A6" t="s">
        <v>4</v>
      </c>
      <c r="B6">
        <f t="shared" si="0"/>
        <v>39799168.256999999</v>
      </c>
      <c r="C6">
        <v>-39799168.256999999</v>
      </c>
    </row>
    <row r="7" spans="1:3" x14ac:dyDescent="0.55000000000000004">
      <c r="A7" t="s">
        <v>5</v>
      </c>
      <c r="B7">
        <f t="shared" si="0"/>
        <v>39799167.814900003</v>
      </c>
      <c r="C7">
        <v>-39799167.814900003</v>
      </c>
    </row>
    <row r="8" spans="1:3" x14ac:dyDescent="0.55000000000000004">
      <c r="A8" t="s">
        <v>6</v>
      </c>
      <c r="B8">
        <f t="shared" si="0"/>
        <v>39799168.258299999</v>
      </c>
      <c r="C8">
        <v>-39799168.258299999</v>
      </c>
    </row>
    <row r="9" spans="1:3" x14ac:dyDescent="0.55000000000000004">
      <c r="A9" t="s">
        <v>7</v>
      </c>
      <c r="B9">
        <f t="shared" si="0"/>
        <v>39799168.1351</v>
      </c>
      <c r="C9">
        <v>-39799168.1351</v>
      </c>
    </row>
    <row r="10" spans="1:3" x14ac:dyDescent="0.55000000000000004">
      <c r="A10" t="s">
        <v>8</v>
      </c>
      <c r="B10">
        <f t="shared" si="0"/>
        <v>39799167.702100001</v>
      </c>
      <c r="C10">
        <v>-39799167.702100001</v>
      </c>
    </row>
    <row r="11" spans="1:3" x14ac:dyDescent="0.55000000000000004">
      <c r="A11" t="s">
        <v>9</v>
      </c>
      <c r="B11">
        <f t="shared" si="0"/>
        <v>39799167.680600002</v>
      </c>
      <c r="C11">
        <v>-39799167.680600002</v>
      </c>
    </row>
    <row r="12" spans="1:3" x14ac:dyDescent="0.55000000000000004">
      <c r="A12" t="s">
        <v>10</v>
      </c>
      <c r="B12">
        <f t="shared" si="0"/>
        <v>39799167.706299998</v>
      </c>
      <c r="C12">
        <v>-39799167.706299998</v>
      </c>
    </row>
    <row r="13" spans="1:3" x14ac:dyDescent="0.55000000000000004">
      <c r="A13" t="s">
        <v>11</v>
      </c>
      <c r="B13">
        <f t="shared" si="0"/>
        <v>39799167.711199999</v>
      </c>
      <c r="C13">
        <v>-39799167.711199999</v>
      </c>
    </row>
    <row r="14" spans="1:3" x14ac:dyDescent="0.55000000000000004">
      <c r="A14" t="s">
        <v>12</v>
      </c>
      <c r="B14">
        <f t="shared" si="0"/>
        <v>39799168.229900002</v>
      </c>
      <c r="C14">
        <v>-39799168.229900002</v>
      </c>
    </row>
    <row r="15" spans="1:3" x14ac:dyDescent="0.55000000000000004">
      <c r="A15" t="s">
        <v>13</v>
      </c>
      <c r="B15">
        <f t="shared" si="0"/>
        <v>39799168.185199998</v>
      </c>
      <c r="C15">
        <v>-39799168.185199998</v>
      </c>
    </row>
    <row r="16" spans="1:3" x14ac:dyDescent="0.55000000000000004">
      <c r="A16" t="s">
        <v>14</v>
      </c>
      <c r="B16">
        <f t="shared" si="0"/>
        <v>39799168.233900003</v>
      </c>
      <c r="C16">
        <v>-39799168.233900003</v>
      </c>
    </row>
    <row r="17" spans="1:3" x14ac:dyDescent="0.55000000000000004">
      <c r="A17" t="s">
        <v>15</v>
      </c>
      <c r="B17">
        <f t="shared" si="0"/>
        <v>39799168.267800003</v>
      </c>
      <c r="C17">
        <v>-39799168.267800003</v>
      </c>
    </row>
    <row r="18" spans="1:3" x14ac:dyDescent="0.55000000000000004">
      <c r="A18" t="s">
        <v>16</v>
      </c>
      <c r="B18">
        <f t="shared" si="0"/>
        <v>39799168.218400002</v>
      </c>
      <c r="C18">
        <v>-39799168.218400002</v>
      </c>
    </row>
    <row r="19" spans="1:3" x14ac:dyDescent="0.55000000000000004">
      <c r="A19" t="s">
        <v>17</v>
      </c>
      <c r="B19">
        <f t="shared" si="0"/>
        <v>39799167.7914</v>
      </c>
      <c r="C19">
        <v>-39799167.7914</v>
      </c>
    </row>
    <row r="20" spans="1:3" x14ac:dyDescent="0.55000000000000004">
      <c r="A20" t="s">
        <v>18</v>
      </c>
      <c r="B20">
        <f t="shared" si="0"/>
        <v>39799168.204000004</v>
      </c>
      <c r="C20">
        <v>-39799168.204000004</v>
      </c>
    </row>
    <row r="21" spans="1:3" x14ac:dyDescent="0.55000000000000004">
      <c r="A21" t="s">
        <v>19</v>
      </c>
      <c r="B21">
        <f t="shared" si="0"/>
        <v>39799168.234700002</v>
      </c>
      <c r="C21">
        <v>-39799168.234700002</v>
      </c>
    </row>
    <row r="22" spans="1:3" x14ac:dyDescent="0.55000000000000004">
      <c r="A22" t="s">
        <v>20</v>
      </c>
      <c r="B22">
        <f t="shared" si="0"/>
        <v>39799168.162199996</v>
      </c>
      <c r="C22">
        <v>-39799168.162199996</v>
      </c>
    </row>
    <row r="23" spans="1:3" x14ac:dyDescent="0.55000000000000004">
      <c r="A23" t="s">
        <v>21</v>
      </c>
      <c r="B23">
        <f t="shared" si="0"/>
        <v>39799168.181500003</v>
      </c>
      <c r="C23">
        <v>-39799168.181500003</v>
      </c>
    </row>
    <row r="24" spans="1:3" x14ac:dyDescent="0.55000000000000004">
      <c r="A24" t="s">
        <v>22</v>
      </c>
      <c r="B24">
        <f t="shared" si="0"/>
        <v>39799168.1479</v>
      </c>
      <c r="C24">
        <v>-39799168.1479</v>
      </c>
    </row>
    <row r="25" spans="1:3" x14ac:dyDescent="0.55000000000000004">
      <c r="A25" t="s">
        <v>23</v>
      </c>
      <c r="B25">
        <f t="shared" si="0"/>
        <v>39799168.1866</v>
      </c>
      <c r="C25">
        <v>-39799168.1866</v>
      </c>
    </row>
    <row r="26" spans="1:3" x14ac:dyDescent="0.55000000000000004">
      <c r="A26" t="s">
        <v>24</v>
      </c>
      <c r="B26">
        <f t="shared" si="0"/>
        <v>39799168.162100002</v>
      </c>
      <c r="C26">
        <v>-39799168.162100002</v>
      </c>
    </row>
    <row r="27" spans="1:3" x14ac:dyDescent="0.55000000000000004">
      <c r="A27" t="s">
        <v>25</v>
      </c>
      <c r="B27">
        <f t="shared" si="0"/>
        <v>39799168.258400001</v>
      </c>
      <c r="C27">
        <v>-39799168.258400001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B68B-D903-4103-A832-860F2DFB271F}">
  <dimension ref="A1:C22"/>
  <sheetViews>
    <sheetView workbookViewId="0">
      <selection activeCell="B2" sqref="B2"/>
    </sheetView>
  </sheetViews>
  <sheetFormatPr defaultRowHeight="14.4" x14ac:dyDescent="0.55000000000000004"/>
  <cols>
    <col min="1" max="1" width="20.47265625" bestFit="1" customWidth="1"/>
    <col min="2" max="3" width="12.26171875" bestFit="1" customWidth="1"/>
  </cols>
  <sheetData>
    <row r="1" spans="1:3" x14ac:dyDescent="0.55000000000000004">
      <c r="A1" t="s">
        <v>26</v>
      </c>
      <c r="B1" t="s">
        <v>27</v>
      </c>
      <c r="C1" t="s">
        <v>43</v>
      </c>
    </row>
    <row r="2" spans="1:3" x14ac:dyDescent="0.55000000000000004">
      <c r="A2" t="s">
        <v>1</v>
      </c>
      <c r="B2" s="2">
        <f t="shared" ref="B2:B22" si="0">ABS(C2)</f>
        <v>40090516.4991</v>
      </c>
      <c r="C2">
        <v>-40090516.4991</v>
      </c>
    </row>
    <row r="3" spans="1:3" x14ac:dyDescent="0.55000000000000004">
      <c r="A3" t="s">
        <v>28</v>
      </c>
      <c r="B3">
        <f t="shared" si="0"/>
        <v>40116586.234700002</v>
      </c>
      <c r="C3">
        <v>-40116586.234700002</v>
      </c>
    </row>
    <row r="4" spans="1:3" x14ac:dyDescent="0.55000000000000004">
      <c r="A4" t="s">
        <v>29</v>
      </c>
      <c r="B4">
        <f t="shared" si="0"/>
        <v>40194704.977399997</v>
      </c>
      <c r="C4">
        <v>-40194704.977399997</v>
      </c>
    </row>
    <row r="5" spans="1:3" x14ac:dyDescent="0.55000000000000004">
      <c r="A5" t="s">
        <v>15</v>
      </c>
      <c r="B5">
        <f t="shared" si="0"/>
        <v>40121380.8477</v>
      </c>
      <c r="C5">
        <v>-40121380.8477</v>
      </c>
    </row>
    <row r="6" spans="1:3" x14ac:dyDescent="0.55000000000000004">
      <c r="A6" t="s">
        <v>17</v>
      </c>
      <c r="B6">
        <f t="shared" si="0"/>
        <v>40266913.4802</v>
      </c>
      <c r="C6">
        <v>-40266913.4802</v>
      </c>
    </row>
    <row r="7" spans="1:3" x14ac:dyDescent="0.55000000000000004">
      <c r="A7" t="s">
        <v>30</v>
      </c>
      <c r="B7">
        <f t="shared" si="0"/>
        <v>40128193.780100003</v>
      </c>
      <c r="C7">
        <v>-40128193.780100003</v>
      </c>
    </row>
    <row r="8" spans="1:3" x14ac:dyDescent="0.55000000000000004">
      <c r="A8" t="s">
        <v>31</v>
      </c>
      <c r="B8">
        <f t="shared" si="0"/>
        <v>40114361.0858</v>
      </c>
      <c r="C8">
        <v>-40114361.0858</v>
      </c>
    </row>
    <row r="9" spans="1:3" x14ac:dyDescent="0.55000000000000004">
      <c r="A9" t="s">
        <v>22</v>
      </c>
      <c r="B9">
        <f t="shared" si="0"/>
        <v>40129455.400799997</v>
      </c>
      <c r="C9">
        <v>-40129455.400799997</v>
      </c>
    </row>
    <row r="10" spans="1:3" x14ac:dyDescent="0.55000000000000004">
      <c r="A10" t="s">
        <v>32</v>
      </c>
      <c r="B10">
        <f t="shared" si="0"/>
        <v>40112219.754699998</v>
      </c>
      <c r="C10">
        <v>-40112219.754699998</v>
      </c>
    </row>
    <row r="11" spans="1:3" x14ac:dyDescent="0.55000000000000004">
      <c r="A11" t="s">
        <v>2</v>
      </c>
      <c r="B11">
        <f t="shared" si="0"/>
        <v>40072584.029799998</v>
      </c>
      <c r="C11">
        <v>-40072584.029799998</v>
      </c>
    </row>
    <row r="12" spans="1:3" x14ac:dyDescent="0.55000000000000004">
      <c r="A12" t="s">
        <v>3</v>
      </c>
      <c r="B12">
        <f t="shared" si="0"/>
        <v>40072583.4432</v>
      </c>
      <c r="C12">
        <v>-40072583.4432</v>
      </c>
    </row>
    <row r="13" spans="1:3" x14ac:dyDescent="0.55000000000000004">
      <c r="A13" t="s">
        <v>33</v>
      </c>
      <c r="B13">
        <f t="shared" si="0"/>
        <v>40128725.347400002</v>
      </c>
      <c r="C13">
        <v>-40128725.347400002</v>
      </c>
    </row>
    <row r="14" spans="1:3" x14ac:dyDescent="0.55000000000000004">
      <c r="A14" t="s">
        <v>34</v>
      </c>
      <c r="B14">
        <f t="shared" si="0"/>
        <v>40124999.337899998</v>
      </c>
      <c r="C14">
        <v>-40124999.337899998</v>
      </c>
    </row>
    <row r="15" spans="1:3" x14ac:dyDescent="0.55000000000000004">
      <c r="A15" t="s">
        <v>24</v>
      </c>
      <c r="B15">
        <f t="shared" si="0"/>
        <v>40283294.6598</v>
      </c>
      <c r="C15">
        <v>-40283294.6598</v>
      </c>
    </row>
    <row r="16" spans="1:3" x14ac:dyDescent="0.55000000000000004">
      <c r="A16" t="s">
        <v>16</v>
      </c>
      <c r="B16">
        <f t="shared" si="0"/>
        <v>40116674.102200001</v>
      </c>
      <c r="C16">
        <v>-40116674.102200001</v>
      </c>
    </row>
    <row r="17" spans="1:3" x14ac:dyDescent="0.55000000000000004">
      <c r="A17" t="s">
        <v>7</v>
      </c>
      <c r="B17">
        <f t="shared" si="0"/>
        <v>40111827.431500003</v>
      </c>
      <c r="C17">
        <v>-40111827.431500003</v>
      </c>
    </row>
    <row r="18" spans="1:3" x14ac:dyDescent="0.55000000000000004">
      <c r="A18" t="s">
        <v>35</v>
      </c>
      <c r="B18">
        <f t="shared" si="0"/>
        <v>40150354.495300002</v>
      </c>
      <c r="C18">
        <v>-40150354.495300002</v>
      </c>
    </row>
    <row r="19" spans="1:3" x14ac:dyDescent="0.55000000000000004">
      <c r="A19" t="s">
        <v>4</v>
      </c>
      <c r="B19">
        <f t="shared" si="0"/>
        <v>40014821.397600003</v>
      </c>
      <c r="C19">
        <v>-40014821.397600003</v>
      </c>
    </row>
    <row r="20" spans="1:3" x14ac:dyDescent="0.55000000000000004">
      <c r="A20" t="s">
        <v>12</v>
      </c>
      <c r="B20">
        <f t="shared" si="0"/>
        <v>40119754.497100003</v>
      </c>
      <c r="C20">
        <v>-40119754.497100003</v>
      </c>
    </row>
    <row r="21" spans="1:3" x14ac:dyDescent="0.55000000000000004">
      <c r="A21" t="s">
        <v>36</v>
      </c>
      <c r="B21">
        <f t="shared" si="0"/>
        <v>40118246.194799997</v>
      </c>
      <c r="C21">
        <v>-40118246.194799997</v>
      </c>
    </row>
    <row r="22" spans="1:3" x14ac:dyDescent="0.55000000000000004">
      <c r="A22" t="s">
        <v>0</v>
      </c>
      <c r="B22">
        <f t="shared" si="0"/>
        <v>40084124.072099999</v>
      </c>
      <c r="C22">
        <v>-40084124.072099999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28B7-0A19-43F8-81D0-0EECAFAEAFBC}">
  <dimension ref="A1:N13"/>
  <sheetViews>
    <sheetView workbookViewId="0">
      <selection activeCell="B2" sqref="B2:B7"/>
    </sheetView>
  </sheetViews>
  <sheetFormatPr defaultRowHeight="14.4" x14ac:dyDescent="0.55000000000000004"/>
  <cols>
    <col min="2" max="2" width="12.26171875" bestFit="1" customWidth="1"/>
  </cols>
  <sheetData>
    <row r="1" spans="1:14" x14ac:dyDescent="0.55000000000000004">
      <c r="A1" t="s">
        <v>41</v>
      </c>
      <c r="B1" t="s">
        <v>27</v>
      </c>
    </row>
    <row r="2" spans="1:14" x14ac:dyDescent="0.55000000000000004">
      <c r="A2" t="s">
        <v>37</v>
      </c>
      <c r="B2" s="1">
        <v>4174573646.4418001</v>
      </c>
      <c r="C2" t="s">
        <v>42</v>
      </c>
    </row>
    <row r="3" spans="1:14" x14ac:dyDescent="0.55000000000000004">
      <c r="A3" t="s">
        <v>38</v>
      </c>
      <c r="B3" s="1">
        <v>0</v>
      </c>
    </row>
    <row r="4" spans="1:14" x14ac:dyDescent="0.55000000000000004">
      <c r="A4" t="s">
        <v>39</v>
      </c>
      <c r="B4" s="1">
        <v>1373604561.8611</v>
      </c>
      <c r="C4" t="s">
        <v>42</v>
      </c>
      <c r="I4" t="s">
        <v>39</v>
      </c>
      <c r="J4">
        <v>-1373604561.8611</v>
      </c>
      <c r="K4" s="1">
        <f>ABS(J4)</f>
        <v>1373604561.8611</v>
      </c>
      <c r="M4">
        <v>-26652460125.812801</v>
      </c>
      <c r="N4">
        <f>ABS(M4)</f>
        <v>26652460125.812801</v>
      </c>
    </row>
    <row r="5" spans="1:14" x14ac:dyDescent="0.55000000000000004">
      <c r="A5" t="s">
        <v>40</v>
      </c>
      <c r="B5" s="1">
        <v>1494105157.073</v>
      </c>
      <c r="C5" t="s">
        <v>42</v>
      </c>
      <c r="I5" t="s">
        <v>40</v>
      </c>
      <c r="J5">
        <v>-1494105157.073</v>
      </c>
      <c r="K5" s="1">
        <f>ABS(J5)</f>
        <v>1494105157.073</v>
      </c>
      <c r="M5">
        <v>-6135932.943</v>
      </c>
      <c r="N5">
        <f>ABS(M5)</f>
        <v>6135932.943</v>
      </c>
    </row>
    <row r="6" spans="1:14" x14ac:dyDescent="0.55000000000000004">
      <c r="A6" t="s">
        <v>45</v>
      </c>
      <c r="B6" s="1">
        <v>5020265256.2294998</v>
      </c>
      <c r="M6">
        <v>-26504431106.983799</v>
      </c>
      <c r="N6">
        <f>ABS(M6)</f>
        <v>26504431106.983799</v>
      </c>
    </row>
    <row r="7" spans="1:14" x14ac:dyDescent="0.55000000000000004">
      <c r="A7" t="s">
        <v>46</v>
      </c>
      <c r="B7" s="1">
        <v>5000000000</v>
      </c>
      <c r="F7" s="1">
        <v>4812239915.1750002</v>
      </c>
      <c r="I7" t="s">
        <v>47</v>
      </c>
      <c r="M7">
        <v>-29024888276.128399</v>
      </c>
      <c r="N7">
        <f>ABS(M7)</f>
        <v>29024888276.128399</v>
      </c>
    </row>
    <row r="8" spans="1:14" x14ac:dyDescent="0.55000000000000004">
      <c r="F8" s="1"/>
      <c r="I8" t="s">
        <v>37</v>
      </c>
      <c r="J8">
        <v>0</v>
      </c>
    </row>
    <row r="9" spans="1:14" x14ac:dyDescent="0.55000000000000004">
      <c r="I9" t="s">
        <v>38</v>
      </c>
      <c r="J9">
        <v>-192.98929999999999</v>
      </c>
    </row>
    <row r="10" spans="1:14" x14ac:dyDescent="0.55000000000000004">
      <c r="A10" t="s">
        <v>39</v>
      </c>
      <c r="B10">
        <v>-1373604561.8611</v>
      </c>
      <c r="C10" s="1">
        <f>ABS(B10)</f>
        <v>1373604561.8611</v>
      </c>
      <c r="I10" t="s">
        <v>39</v>
      </c>
      <c r="J10">
        <v>-1E-4</v>
      </c>
    </row>
    <row r="11" spans="1:14" x14ac:dyDescent="0.55000000000000004">
      <c r="A11" t="s">
        <v>40</v>
      </c>
      <c r="B11">
        <v>-1494105157.073</v>
      </c>
      <c r="C11" s="1">
        <f>ABS(B11)</f>
        <v>1494105157.073</v>
      </c>
      <c r="I11" t="s">
        <v>40</v>
      </c>
      <c r="J11">
        <v>-12313176157.922501</v>
      </c>
    </row>
    <row r="12" spans="1:14" x14ac:dyDescent="0.55000000000000004">
      <c r="I12" t="s">
        <v>48</v>
      </c>
      <c r="J12">
        <v>384231707882.25</v>
      </c>
    </row>
    <row r="13" spans="1:14" x14ac:dyDescent="0.55000000000000004">
      <c r="I13" t="s">
        <v>49</v>
      </c>
      <c r="J13">
        <v>384129292837.67297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F1C-CF71-4774-9BFC-A3B037F0DCB2}">
  <dimension ref="A1:G22"/>
  <sheetViews>
    <sheetView workbookViewId="0">
      <selection activeCell="A2" sqref="A2:B22"/>
    </sheetView>
  </sheetViews>
  <sheetFormatPr defaultRowHeight="14.4" x14ac:dyDescent="0.55000000000000004"/>
  <sheetData>
    <row r="1" spans="1:7" x14ac:dyDescent="0.55000000000000004">
      <c r="A1" t="s">
        <v>26</v>
      </c>
      <c r="B1" t="s">
        <v>27</v>
      </c>
      <c r="C1" t="s">
        <v>43</v>
      </c>
    </row>
    <row r="2" spans="1:7" x14ac:dyDescent="0.55000000000000004">
      <c r="A2" t="s">
        <v>1</v>
      </c>
      <c r="B2">
        <f>ABS(C2)</f>
        <v>6783.4041999999999</v>
      </c>
      <c r="C2">
        <v>-6783.4041999999999</v>
      </c>
      <c r="G2">
        <v>-40090516.4991</v>
      </c>
    </row>
    <row r="3" spans="1:7" x14ac:dyDescent="0.55000000000000004">
      <c r="A3" t="s">
        <v>28</v>
      </c>
      <c r="B3">
        <f t="shared" ref="B3:B22" si="0">ABS(C3)</f>
        <v>8947.8449000000001</v>
      </c>
      <c r="C3">
        <v>-8947.8449000000001</v>
      </c>
      <c r="G3">
        <v>-40116586.234700002</v>
      </c>
    </row>
    <row r="4" spans="1:7" x14ac:dyDescent="0.55000000000000004">
      <c r="A4" t="s">
        <v>29</v>
      </c>
      <c r="B4">
        <f t="shared" si="0"/>
        <v>14001.293900000001</v>
      </c>
      <c r="C4">
        <v>-14001.293900000001</v>
      </c>
      <c r="G4">
        <v>-40194704.977399997</v>
      </c>
    </row>
    <row r="5" spans="1:7" x14ac:dyDescent="0.55000000000000004">
      <c r="A5" t="s">
        <v>15</v>
      </c>
      <c r="B5">
        <f t="shared" si="0"/>
        <v>10036.3488</v>
      </c>
      <c r="C5">
        <v>-10036.3488</v>
      </c>
      <c r="G5">
        <v>-40121380.8477</v>
      </c>
    </row>
    <row r="6" spans="1:7" x14ac:dyDescent="0.55000000000000004">
      <c r="A6" t="s">
        <v>17</v>
      </c>
      <c r="B6">
        <f t="shared" si="0"/>
        <v>16414.5239</v>
      </c>
      <c r="C6">
        <v>-16414.5239</v>
      </c>
      <c r="G6">
        <v>-40266913.4802</v>
      </c>
    </row>
    <row r="7" spans="1:7" x14ac:dyDescent="0.55000000000000004">
      <c r="A7" t="s">
        <v>30</v>
      </c>
      <c r="B7">
        <f t="shared" si="0"/>
        <v>9601.5151000000005</v>
      </c>
      <c r="C7">
        <v>-9601.5151000000005</v>
      </c>
      <c r="G7">
        <v>-40128193.780100003</v>
      </c>
    </row>
    <row r="8" spans="1:7" x14ac:dyDescent="0.55000000000000004">
      <c r="A8" t="s">
        <v>31</v>
      </c>
      <c r="B8">
        <f t="shared" si="0"/>
        <v>8942.2857000000004</v>
      </c>
      <c r="C8">
        <v>-8942.2857000000004</v>
      </c>
      <c r="G8">
        <v>-40114361.0858</v>
      </c>
    </row>
    <row r="9" spans="1:7" x14ac:dyDescent="0.55000000000000004">
      <c r="A9" t="s">
        <v>22</v>
      </c>
      <c r="B9">
        <f t="shared" si="0"/>
        <v>10843.0615</v>
      </c>
      <c r="C9">
        <v>-10843.0615</v>
      </c>
      <c r="G9">
        <v>-40129455.400799997</v>
      </c>
    </row>
    <row r="10" spans="1:7" x14ac:dyDescent="0.55000000000000004">
      <c r="A10" t="s">
        <v>32</v>
      </c>
      <c r="B10">
        <f t="shared" si="0"/>
        <v>9013.6638000000003</v>
      </c>
      <c r="C10">
        <v>-9013.6638000000003</v>
      </c>
      <c r="G10">
        <v>-40112219.754699998</v>
      </c>
    </row>
    <row r="11" spans="1:7" x14ac:dyDescent="0.55000000000000004">
      <c r="A11" t="s">
        <v>2</v>
      </c>
      <c r="B11">
        <f t="shared" si="0"/>
        <v>5237.7551000000003</v>
      </c>
      <c r="C11">
        <v>-5237.7551000000003</v>
      </c>
      <c r="G11">
        <v>-40072584.029799998</v>
      </c>
    </row>
    <row r="12" spans="1:7" x14ac:dyDescent="0.55000000000000004">
      <c r="A12" t="s">
        <v>3</v>
      </c>
      <c r="B12">
        <f t="shared" si="0"/>
        <v>3544.6846</v>
      </c>
      <c r="C12">
        <v>-3544.6846</v>
      </c>
      <c r="G12">
        <v>-40072583.4432</v>
      </c>
    </row>
    <row r="13" spans="1:7" x14ac:dyDescent="0.55000000000000004">
      <c r="A13" t="s">
        <v>33</v>
      </c>
      <c r="B13">
        <f t="shared" si="0"/>
        <v>9657.9362000000001</v>
      </c>
      <c r="C13">
        <v>-9657.9362000000001</v>
      </c>
      <c r="G13">
        <v>-40128725.347400002</v>
      </c>
    </row>
    <row r="14" spans="1:7" x14ac:dyDescent="0.55000000000000004">
      <c r="A14" t="s">
        <v>34</v>
      </c>
      <c r="B14">
        <f t="shared" si="0"/>
        <v>12023.1113</v>
      </c>
      <c r="C14">
        <v>-12023.1113</v>
      </c>
      <c r="G14">
        <v>-40124999.337899998</v>
      </c>
    </row>
    <row r="15" spans="1:7" x14ac:dyDescent="0.55000000000000004">
      <c r="A15" t="s">
        <v>24</v>
      </c>
      <c r="B15">
        <f t="shared" si="0"/>
        <v>16231.840700000001</v>
      </c>
      <c r="C15">
        <v>-16231.840700000001</v>
      </c>
      <c r="G15">
        <v>-40283294.6598</v>
      </c>
    </row>
    <row r="16" spans="1:7" x14ac:dyDescent="0.55000000000000004">
      <c r="A16" t="s">
        <v>16</v>
      </c>
      <c r="B16">
        <f t="shared" si="0"/>
        <v>9355.4840999999997</v>
      </c>
      <c r="C16">
        <v>-9355.4840999999997</v>
      </c>
      <c r="G16">
        <v>-40116674.102200001</v>
      </c>
    </row>
    <row r="17" spans="1:7" x14ac:dyDescent="0.55000000000000004">
      <c r="A17" t="s">
        <v>7</v>
      </c>
      <c r="B17">
        <f t="shared" si="0"/>
        <v>8686.7669000000005</v>
      </c>
      <c r="C17">
        <v>-8686.7669000000005</v>
      </c>
      <c r="G17">
        <v>-40111827.431500003</v>
      </c>
    </row>
    <row r="18" spans="1:7" x14ac:dyDescent="0.55000000000000004">
      <c r="A18" t="s">
        <v>35</v>
      </c>
      <c r="B18">
        <f t="shared" si="0"/>
        <v>5876.4741999999997</v>
      </c>
      <c r="C18">
        <v>-5876.4741999999997</v>
      </c>
      <c r="G18">
        <v>-40150354.495300002</v>
      </c>
    </row>
    <row r="19" spans="1:7" x14ac:dyDescent="0.55000000000000004">
      <c r="A19" t="s">
        <v>4</v>
      </c>
      <c r="B19">
        <f t="shared" si="0"/>
        <v>301.05759999999998</v>
      </c>
      <c r="C19">
        <v>-301.05759999999998</v>
      </c>
      <c r="G19">
        <v>-40014821.397600003</v>
      </c>
    </row>
    <row r="20" spans="1:7" x14ac:dyDescent="0.55000000000000004">
      <c r="A20" t="s">
        <v>12</v>
      </c>
      <c r="B20">
        <f t="shared" si="0"/>
        <v>9914.2530000000006</v>
      </c>
      <c r="C20">
        <v>-9914.2530000000006</v>
      </c>
      <c r="G20">
        <v>-40119754.497100003</v>
      </c>
    </row>
    <row r="21" spans="1:7" x14ac:dyDescent="0.55000000000000004">
      <c r="A21" t="s">
        <v>36</v>
      </c>
      <c r="B21">
        <f t="shared" si="0"/>
        <v>8814.0102000000006</v>
      </c>
      <c r="C21">
        <v>-8814.0102000000006</v>
      </c>
      <c r="G21">
        <v>-40118246.194799997</v>
      </c>
    </row>
    <row r="22" spans="1:7" x14ac:dyDescent="0.55000000000000004">
      <c r="A22" t="s">
        <v>0</v>
      </c>
      <c r="B22">
        <f t="shared" si="0"/>
        <v>4245.6659</v>
      </c>
      <c r="C22">
        <v>-4245.6659</v>
      </c>
      <c r="G22">
        <v>-40084124.072099999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FF49-8E3B-456A-86CD-9F9C252E39DC}">
  <dimension ref="A1:C27"/>
  <sheetViews>
    <sheetView topLeftCell="A13" workbookViewId="0">
      <selection activeCell="C2" sqref="C2:C27"/>
    </sheetView>
  </sheetViews>
  <sheetFormatPr defaultRowHeight="14.4" x14ac:dyDescent="0.55000000000000004"/>
  <sheetData>
    <row r="1" spans="1:3" x14ac:dyDescent="0.55000000000000004">
      <c r="A1" t="s">
        <v>26</v>
      </c>
      <c r="B1" t="s">
        <v>27</v>
      </c>
      <c r="C1" t="s">
        <v>44</v>
      </c>
    </row>
    <row r="2" spans="1:3" x14ac:dyDescent="0.55000000000000004">
      <c r="A2" t="s">
        <v>0</v>
      </c>
      <c r="B2">
        <f>ABS(C2)</f>
        <v>345.86930000000001</v>
      </c>
      <c r="C2">
        <v>-345.86930000000001</v>
      </c>
    </row>
    <row r="3" spans="1:3" x14ac:dyDescent="0.55000000000000004">
      <c r="A3" t="s">
        <v>1</v>
      </c>
      <c r="B3">
        <f t="shared" ref="B3:B27" si="0">ABS(C3)</f>
        <v>1942.0684000000001</v>
      </c>
      <c r="C3">
        <v>-1942.0684000000001</v>
      </c>
    </row>
    <row r="4" spans="1:3" x14ac:dyDescent="0.55000000000000004">
      <c r="A4" t="s">
        <v>2</v>
      </c>
      <c r="B4">
        <f t="shared" si="0"/>
        <v>1919.1994999999999</v>
      </c>
      <c r="C4">
        <v>-1919.1994999999999</v>
      </c>
    </row>
    <row r="5" spans="1:3" x14ac:dyDescent="0.55000000000000004">
      <c r="A5" t="s">
        <v>3</v>
      </c>
      <c r="B5">
        <f t="shared" si="0"/>
        <v>226.12909999999999</v>
      </c>
      <c r="C5">
        <v>-226.12909999999999</v>
      </c>
    </row>
    <row r="6" spans="1:3" x14ac:dyDescent="0.55000000000000004">
      <c r="A6" t="s">
        <v>4</v>
      </c>
      <c r="B6">
        <f t="shared" si="0"/>
        <v>1969.729</v>
      </c>
      <c r="C6">
        <v>-1969.729</v>
      </c>
    </row>
    <row r="7" spans="1:3" x14ac:dyDescent="0.55000000000000004">
      <c r="A7" t="s">
        <v>5</v>
      </c>
      <c r="B7">
        <f t="shared" si="0"/>
        <v>1454.7272</v>
      </c>
      <c r="C7">
        <v>-1454.7272</v>
      </c>
    </row>
    <row r="8" spans="1:3" x14ac:dyDescent="0.55000000000000004">
      <c r="A8" t="s">
        <v>6</v>
      </c>
      <c r="B8">
        <f t="shared" si="0"/>
        <v>2074.5524999999998</v>
      </c>
      <c r="C8">
        <v>-2074.5524999999998</v>
      </c>
    </row>
    <row r="9" spans="1:3" x14ac:dyDescent="0.55000000000000004">
      <c r="A9" t="s">
        <v>7</v>
      </c>
      <c r="B9">
        <f t="shared" si="0"/>
        <v>2044.2517</v>
      </c>
      <c r="C9">
        <v>-2044.2517</v>
      </c>
    </row>
    <row r="10" spans="1:3" x14ac:dyDescent="0.55000000000000004">
      <c r="A10" t="s">
        <v>8</v>
      </c>
      <c r="B10">
        <f t="shared" si="0"/>
        <v>415.25479999999999</v>
      </c>
      <c r="C10">
        <v>-415.25479999999999</v>
      </c>
    </row>
    <row r="11" spans="1:3" x14ac:dyDescent="0.55000000000000004">
      <c r="A11" t="s">
        <v>9</v>
      </c>
      <c r="B11">
        <f t="shared" si="0"/>
        <v>613.79319999999996</v>
      </c>
      <c r="C11">
        <v>-613.79319999999996</v>
      </c>
    </row>
    <row r="12" spans="1:3" x14ac:dyDescent="0.55000000000000004">
      <c r="A12" t="s">
        <v>10</v>
      </c>
      <c r="B12">
        <f t="shared" si="0"/>
        <v>908.39779999999996</v>
      </c>
      <c r="C12">
        <v>-908.39779999999996</v>
      </c>
    </row>
    <row r="13" spans="1:3" x14ac:dyDescent="0.55000000000000004">
      <c r="A13" t="s">
        <v>11</v>
      </c>
      <c r="B13">
        <f t="shared" si="0"/>
        <v>632.10419999999999</v>
      </c>
      <c r="C13">
        <v>-632.10419999999999</v>
      </c>
    </row>
    <row r="14" spans="1:3" x14ac:dyDescent="0.55000000000000004">
      <c r="A14" t="s">
        <v>12</v>
      </c>
      <c r="B14">
        <f t="shared" si="0"/>
        <v>3553.1086</v>
      </c>
      <c r="C14">
        <v>-3553.1086</v>
      </c>
    </row>
    <row r="15" spans="1:3" x14ac:dyDescent="0.55000000000000004">
      <c r="A15" t="s">
        <v>13</v>
      </c>
      <c r="B15">
        <f t="shared" si="0"/>
        <v>2029.9170999999999</v>
      </c>
      <c r="C15">
        <v>-2029.9170999999999</v>
      </c>
    </row>
    <row r="16" spans="1:3" x14ac:dyDescent="0.55000000000000004">
      <c r="A16" t="s">
        <v>14</v>
      </c>
      <c r="B16">
        <f t="shared" si="0"/>
        <v>3034.8152</v>
      </c>
      <c r="C16">
        <v>-3034.8152</v>
      </c>
    </row>
    <row r="17" spans="1:3" x14ac:dyDescent="0.55000000000000004">
      <c r="A17" t="s">
        <v>15</v>
      </c>
      <c r="B17">
        <f t="shared" si="0"/>
        <v>2649.8054000000002</v>
      </c>
      <c r="C17">
        <v>-2649.8054000000002</v>
      </c>
    </row>
    <row r="18" spans="1:3" x14ac:dyDescent="0.55000000000000004">
      <c r="A18" t="s">
        <v>16</v>
      </c>
      <c r="B18">
        <f t="shared" si="0"/>
        <v>2726.0385000000001</v>
      </c>
      <c r="C18">
        <v>-2726.0385000000001</v>
      </c>
    </row>
    <row r="19" spans="1:3" x14ac:dyDescent="0.55000000000000004">
      <c r="A19" t="s">
        <v>17</v>
      </c>
      <c r="B19">
        <f t="shared" si="0"/>
        <v>1251.277</v>
      </c>
      <c r="C19">
        <v>-1251.277</v>
      </c>
    </row>
    <row r="20" spans="1:3" x14ac:dyDescent="0.55000000000000004">
      <c r="A20" t="s">
        <v>18</v>
      </c>
      <c r="B20">
        <f t="shared" si="0"/>
        <v>3604.25</v>
      </c>
      <c r="C20">
        <v>-3604.25</v>
      </c>
    </row>
    <row r="21" spans="1:3" x14ac:dyDescent="0.55000000000000004">
      <c r="A21" t="s">
        <v>19</v>
      </c>
      <c r="B21">
        <f t="shared" si="0"/>
        <v>3021.8265999999999</v>
      </c>
      <c r="C21">
        <v>-3021.8265999999999</v>
      </c>
    </row>
    <row r="22" spans="1:3" x14ac:dyDescent="0.55000000000000004">
      <c r="A22" t="s">
        <v>20</v>
      </c>
      <c r="B22">
        <f t="shared" si="0"/>
        <v>2811.5898000000002</v>
      </c>
      <c r="C22">
        <v>-2811.5898000000002</v>
      </c>
    </row>
    <row r="23" spans="1:3" x14ac:dyDescent="0.55000000000000004">
      <c r="A23" t="s">
        <v>21</v>
      </c>
      <c r="B23">
        <f t="shared" si="0"/>
        <v>2523.6669000000002</v>
      </c>
      <c r="C23">
        <v>-2523.6669000000002</v>
      </c>
    </row>
    <row r="24" spans="1:3" x14ac:dyDescent="0.55000000000000004">
      <c r="A24" t="s">
        <v>22</v>
      </c>
      <c r="B24">
        <f t="shared" si="0"/>
        <v>2086.3465999999999</v>
      </c>
      <c r="C24">
        <v>-2086.3465999999999</v>
      </c>
    </row>
    <row r="25" spans="1:3" x14ac:dyDescent="0.55000000000000004">
      <c r="A25" t="s">
        <v>23</v>
      </c>
      <c r="B25">
        <f t="shared" si="0"/>
        <v>2641.6979999999999</v>
      </c>
      <c r="C25">
        <v>-2641.6979999999999</v>
      </c>
    </row>
    <row r="26" spans="1:3" x14ac:dyDescent="0.55000000000000004">
      <c r="A26" t="s">
        <v>24</v>
      </c>
      <c r="B26">
        <f t="shared" si="0"/>
        <v>2027.3739</v>
      </c>
      <c r="C26">
        <v>-2027.3739</v>
      </c>
    </row>
    <row r="27" spans="1:3" x14ac:dyDescent="0.55000000000000004">
      <c r="A27" t="s">
        <v>25</v>
      </c>
      <c r="B27">
        <f t="shared" si="0"/>
        <v>2312.1167999999998</v>
      </c>
      <c r="C27">
        <v>-2312.1167999999998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Dom_2023</vt:lpstr>
      <vt:lpstr>Imp_2023</vt:lpstr>
      <vt:lpstr>Water_2023</vt:lpstr>
      <vt:lpstr>Water</vt:lpstr>
      <vt:lpstr>Import</vt:lpstr>
      <vt:lpstr>Domestic</vt:lpstr>
      <vt:lpstr>oldwater</vt:lpstr>
      <vt:lpstr>Domestic (2)</vt:lpstr>
      <vt:lpstr>Import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2025-09-01T22:13:16Z</dcterms:created>
  <dcterms:modified xsi:type="dcterms:W3CDTF">2025-11-19T23:41:31Z</dcterms:modified>
</cp:coreProperties>
</file>