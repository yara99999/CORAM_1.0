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boroyy\Documents\Thesis Research\KAPSARC collaboration\Yara Input\Optimization\Model\Data\2023\"/>
    </mc:Choice>
  </mc:AlternateContent>
  <xr:revisionPtr revIDLastSave="0" documentId="13_ncr:1_{0673FFFE-BB23-4225-AAEE-DDEAFD239056}" xr6:coauthVersionLast="47" xr6:coauthVersionMax="47" xr10:uidLastSave="{00000000-0000-0000-0000-000000000000}"/>
  <bookViews>
    <workbookView xWindow="-78" yWindow="0" windowWidth="10524" windowHeight="12318" activeTab="1" xr2:uid="{7E35CB95-C3B6-4839-AD45-432E52D2B4AD}"/>
  </bookViews>
  <sheets>
    <sheet name="Domestic" sheetId="1" r:id="rId1"/>
    <sheet name="Import" sheetId="6" r:id="rId2"/>
    <sheet name="kc" sheetId="2" r:id="rId3"/>
    <sheet name="PhaseMonth" sheetId="3" r:id="rId4"/>
    <sheet name="ET0" sheetId="4" r:id="rId5"/>
    <sheet name="Sheet2" sheetId="10" r:id="rId6"/>
    <sheet name="Sheet1" sheetId="8" r:id="rId7"/>
    <sheet name="Info" sheetId="7" r:id="rId8"/>
    <sheet name="Info 2" sheetId="5" r:id="rId9"/>
    <sheet name="PhaseMonth (2)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" i="1"/>
  <c r="F24" i="1" l="1"/>
  <c r="F17" i="1"/>
  <c r="F12" i="1"/>
  <c r="F2" i="1"/>
  <c r="C2" i="1"/>
  <c r="C13" i="1"/>
  <c r="C12" i="1"/>
  <c r="C19" i="1"/>
  <c r="C24" i="1"/>
  <c r="H11" i="1" l="1"/>
  <c r="H10" i="1"/>
  <c r="L7" i="10" l="1"/>
  <c r="L8" i="10" s="1"/>
  <c r="K7" i="10"/>
  <c r="K8" i="10" s="1"/>
  <c r="G6" i="10"/>
  <c r="L5" i="10"/>
  <c r="K5" i="10"/>
  <c r="L4" i="10"/>
  <c r="K4" i="10"/>
  <c r="L3" i="10"/>
  <c r="K3" i="10"/>
  <c r="L2" i="10"/>
  <c r="K2" i="10"/>
  <c r="D7" i="10"/>
  <c r="B7" i="10"/>
  <c r="L37" i="10" l="1"/>
  <c r="J37" i="10"/>
  <c r="L36" i="10"/>
  <c r="K36" i="10"/>
  <c r="J36" i="10"/>
  <c r="N34" i="10"/>
  <c r="N37" i="10" s="1"/>
  <c r="K34" i="10"/>
  <c r="K37" i="10" s="1"/>
  <c r="N33" i="10"/>
  <c r="O33" i="10" s="1"/>
  <c r="N32" i="10"/>
  <c r="O32" i="10" s="1"/>
  <c r="O31" i="10"/>
  <c r="N31" i="10"/>
  <c r="N30" i="10"/>
  <c r="O30" i="10" s="1"/>
  <c r="H30" i="10"/>
  <c r="G30" i="10"/>
  <c r="N29" i="10"/>
  <c r="O29" i="10" s="1"/>
  <c r="N28" i="10"/>
  <c r="O28" i="10" s="1"/>
  <c r="N27" i="10"/>
  <c r="O27" i="10" s="1"/>
  <c r="N26" i="10"/>
  <c r="O26" i="10" s="1"/>
  <c r="N25" i="10"/>
  <c r="O25" i="10" s="1"/>
  <c r="C25" i="10"/>
  <c r="N24" i="10"/>
  <c r="O24" i="10" s="1"/>
  <c r="C24" i="10"/>
  <c r="B24" i="10"/>
  <c r="B25" i="10" s="1"/>
  <c r="O23" i="10"/>
  <c r="N23" i="10"/>
  <c r="D23" i="10"/>
  <c r="N22" i="10"/>
  <c r="N36" i="10" s="1"/>
  <c r="D22" i="10"/>
  <c r="N21" i="10"/>
  <c r="D21" i="10"/>
  <c r="N20" i="10"/>
  <c r="O20" i="10" s="1"/>
  <c r="D20" i="10"/>
  <c r="D19" i="10"/>
  <c r="D18" i="10"/>
  <c r="D17" i="10"/>
  <c r="D16" i="10"/>
  <c r="J15" i="10"/>
  <c r="D15" i="10"/>
  <c r="J14" i="10"/>
  <c r="D14" i="10"/>
  <c r="O22" i="10" l="1"/>
  <c r="O34" i="10"/>
  <c r="D3" i="8" l="1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" i="8"/>
  <c r="C3" i="8"/>
  <c r="C5" i="8"/>
  <c r="C6" i="8"/>
  <c r="C7" i="8"/>
  <c r="C8" i="8"/>
  <c r="C9" i="8"/>
  <c r="C10" i="8"/>
  <c r="C11" i="8"/>
  <c r="C12" i="8"/>
  <c r="C14" i="8"/>
  <c r="C15" i="8"/>
  <c r="C16" i="8"/>
  <c r="C17" i="8"/>
  <c r="C18" i="8"/>
  <c r="C19" i="8"/>
  <c r="C20" i="8"/>
  <c r="C22" i="8"/>
  <c r="C2" i="8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Y24" i="7"/>
  <c r="X24" i="7"/>
  <c r="U24" i="7"/>
  <c r="S24" i="7"/>
  <c r="Q24" i="7"/>
  <c r="P24" i="7"/>
  <c r="D24" i="7"/>
  <c r="Y23" i="7"/>
  <c r="X23" i="7"/>
  <c r="U23" i="7"/>
  <c r="S23" i="7"/>
  <c r="Q23" i="7"/>
  <c r="P23" i="7"/>
  <c r="D23" i="7"/>
  <c r="Y22" i="7"/>
  <c r="X22" i="7"/>
  <c r="U22" i="7"/>
  <c r="S22" i="7"/>
  <c r="Q22" i="7"/>
  <c r="P22" i="7"/>
  <c r="D22" i="7"/>
  <c r="Y21" i="7"/>
  <c r="X21" i="7"/>
  <c r="U21" i="7"/>
  <c r="S21" i="7"/>
  <c r="Q21" i="7"/>
  <c r="P21" i="7"/>
  <c r="D21" i="7"/>
  <c r="Y20" i="7"/>
  <c r="X20" i="7"/>
  <c r="U20" i="7"/>
  <c r="S20" i="7"/>
  <c r="Q20" i="7"/>
  <c r="P20" i="7"/>
  <c r="D20" i="7"/>
  <c r="Y19" i="7"/>
  <c r="X19" i="7"/>
  <c r="S19" i="7"/>
  <c r="Q19" i="7"/>
  <c r="D19" i="7"/>
  <c r="P19" i="7" s="1"/>
  <c r="Y18" i="7"/>
  <c r="X18" i="7"/>
  <c r="S18" i="7"/>
  <c r="Q18" i="7"/>
  <c r="P18" i="7"/>
  <c r="D18" i="7"/>
  <c r="U18" i="7" s="1"/>
  <c r="Y17" i="7"/>
  <c r="X17" i="7"/>
  <c r="U17" i="7"/>
  <c r="S17" i="7"/>
  <c r="Q17" i="7"/>
  <c r="P17" i="7"/>
  <c r="D17" i="7"/>
  <c r="Y16" i="7"/>
  <c r="X16" i="7"/>
  <c r="U16" i="7"/>
  <c r="S16" i="7"/>
  <c r="Q16" i="7"/>
  <c r="D16" i="7"/>
  <c r="P16" i="7" s="1"/>
  <c r="Y15" i="7"/>
  <c r="X15" i="7"/>
  <c r="S15" i="7"/>
  <c r="Q15" i="7"/>
  <c r="D15" i="7"/>
  <c r="U15" i="7" s="1"/>
  <c r="Y14" i="7"/>
  <c r="X14" i="7"/>
  <c r="U14" i="7"/>
  <c r="S14" i="7"/>
  <c r="Q14" i="7"/>
  <c r="D14" i="7"/>
  <c r="P14" i="7" s="1"/>
  <c r="Y13" i="7"/>
  <c r="X13" i="7"/>
  <c r="U13" i="7"/>
  <c r="S13" i="7"/>
  <c r="Q13" i="7"/>
  <c r="P13" i="7"/>
  <c r="D13" i="7"/>
  <c r="S12" i="7"/>
  <c r="Q12" i="7"/>
  <c r="P12" i="7"/>
  <c r="D12" i="7"/>
  <c r="Y11" i="7"/>
  <c r="X11" i="7"/>
  <c r="U11" i="7"/>
  <c r="S11" i="7"/>
  <c r="Q11" i="7"/>
  <c r="P11" i="7"/>
  <c r="D11" i="7"/>
  <c r="Y10" i="7"/>
  <c r="X10" i="7"/>
  <c r="S10" i="7"/>
  <c r="Q10" i="7"/>
  <c r="D10" i="7"/>
  <c r="U10" i="7" s="1"/>
  <c r="Y9" i="7"/>
  <c r="X9" i="7"/>
  <c r="U9" i="7"/>
  <c r="S9" i="7"/>
  <c r="Q9" i="7"/>
  <c r="D9" i="7"/>
  <c r="P9" i="7" s="1"/>
  <c r="Y8" i="7"/>
  <c r="X8" i="7"/>
  <c r="U8" i="7"/>
  <c r="S8" i="7"/>
  <c r="Q8" i="7"/>
  <c r="P8" i="7"/>
  <c r="D8" i="7"/>
  <c r="Y7" i="7"/>
  <c r="X7" i="7"/>
  <c r="S7" i="7"/>
  <c r="Q7" i="7"/>
  <c r="P7" i="7"/>
  <c r="D7" i="7"/>
  <c r="U7" i="7" s="1"/>
  <c r="Y6" i="7"/>
  <c r="X6" i="7"/>
  <c r="S6" i="7"/>
  <c r="Q6" i="7"/>
  <c r="D6" i="7"/>
  <c r="U6" i="7" s="1"/>
  <c r="Y5" i="7"/>
  <c r="X5" i="7"/>
  <c r="S5" i="7"/>
  <c r="Q5" i="7"/>
  <c r="D5" i="7"/>
  <c r="U5" i="7" s="1"/>
  <c r="Y4" i="7"/>
  <c r="X4" i="7"/>
  <c r="U4" i="7"/>
  <c r="S4" i="7"/>
  <c r="Q4" i="7"/>
  <c r="D4" i="7"/>
  <c r="P4" i="7" s="1"/>
  <c r="Y3" i="7"/>
  <c r="X3" i="7"/>
  <c r="S3" i="7"/>
  <c r="Q3" i="7"/>
  <c r="D3" i="7"/>
  <c r="P3" i="7" s="1"/>
  <c r="Y2" i="7"/>
  <c r="X2" i="7"/>
  <c r="U2" i="7"/>
  <c r="S2" i="7"/>
  <c r="Q2" i="7"/>
  <c r="D2" i="7"/>
  <c r="P2" i="7" s="1"/>
  <c r="P5" i="7" l="1"/>
  <c r="U19" i="7"/>
  <c r="P15" i="7"/>
  <c r="P10" i="7"/>
  <c r="U3" i="7"/>
  <c r="P6" i="7"/>
  <c r="V28" i="5" l="1"/>
  <c r="V27" i="5"/>
  <c r="AC30" i="5" l="1"/>
  <c r="AC29" i="5"/>
  <c r="AC26" i="5"/>
  <c r="AB26" i="5"/>
  <c r="AC3" i="5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" i="5"/>
  <c r="AB2" i="5"/>
  <c r="AB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P2" i="5"/>
  <c r="AI2" i="5" s="1"/>
  <c r="AD2" i="5"/>
  <c r="AE2" i="5"/>
  <c r="AG2" i="5"/>
  <c r="AL2" i="5"/>
  <c r="AM2" i="5"/>
  <c r="P3" i="5"/>
  <c r="AI3" i="5" s="1"/>
  <c r="AD3" i="5"/>
  <c r="AE3" i="5"/>
  <c r="AG3" i="5"/>
  <c r="AL3" i="5"/>
  <c r="AM3" i="5"/>
  <c r="P4" i="5"/>
  <c r="AI4" i="5" s="1"/>
  <c r="AE4" i="5"/>
  <c r="AG4" i="5"/>
  <c r="AL4" i="5"/>
  <c r="AM4" i="5"/>
  <c r="P5" i="5"/>
  <c r="AD5" i="5"/>
  <c r="AE5" i="5"/>
  <c r="AG5" i="5"/>
  <c r="AI5" i="5"/>
  <c r="AL5" i="5"/>
  <c r="AM5" i="5"/>
  <c r="P6" i="5"/>
  <c r="AD6" i="5" s="1"/>
  <c r="AE6" i="5"/>
  <c r="AG6" i="5"/>
  <c r="AL6" i="5"/>
  <c r="AM6" i="5"/>
  <c r="P7" i="5"/>
  <c r="AD7" i="5"/>
  <c r="AE7" i="5"/>
  <c r="AG7" i="5"/>
  <c r="AI7" i="5"/>
  <c r="AL7" i="5"/>
  <c r="AM7" i="5"/>
  <c r="P8" i="5"/>
  <c r="AD8" i="5"/>
  <c r="AE8" i="5"/>
  <c r="AG8" i="5"/>
  <c r="AI8" i="5"/>
  <c r="AL8" i="5"/>
  <c r="AM8" i="5"/>
  <c r="P9" i="5"/>
  <c r="AD9" i="5" s="1"/>
  <c r="AE9" i="5"/>
  <c r="AG9" i="5"/>
  <c r="AL9" i="5"/>
  <c r="AM9" i="5"/>
  <c r="P10" i="5"/>
  <c r="AD10" i="5" s="1"/>
  <c r="AE10" i="5"/>
  <c r="AG10" i="5"/>
  <c r="AL10" i="5"/>
  <c r="AM10" i="5"/>
  <c r="P11" i="5"/>
  <c r="AI11" i="5" s="1"/>
  <c r="AD11" i="5"/>
  <c r="AE11" i="5"/>
  <c r="AG11" i="5"/>
  <c r="AL11" i="5"/>
  <c r="AM11" i="5"/>
  <c r="P12" i="5"/>
  <c r="AD12" i="5"/>
  <c r="AE12" i="5"/>
  <c r="AG12" i="5"/>
  <c r="P13" i="5"/>
  <c r="AD13" i="5"/>
  <c r="AE13" i="5"/>
  <c r="AG13" i="5"/>
  <c r="AI13" i="5"/>
  <c r="AL13" i="5"/>
  <c r="AM13" i="5"/>
  <c r="P14" i="5"/>
  <c r="AD14" i="5" s="1"/>
  <c r="AE14" i="5"/>
  <c r="AG14" i="5"/>
  <c r="AL14" i="5"/>
  <c r="AM14" i="5"/>
  <c r="P15" i="5"/>
  <c r="AD15" i="5" s="1"/>
  <c r="AE15" i="5"/>
  <c r="AG15" i="5"/>
  <c r="AL15" i="5"/>
  <c r="AM15" i="5"/>
  <c r="P16" i="5"/>
  <c r="AI16" i="5" s="1"/>
  <c r="AD16" i="5"/>
  <c r="AE16" i="5"/>
  <c r="AG16" i="5"/>
  <c r="AL16" i="5"/>
  <c r="AM16" i="5"/>
  <c r="P17" i="5"/>
  <c r="AD17" i="5" s="1"/>
  <c r="AE17" i="5"/>
  <c r="AG17" i="5"/>
  <c r="AL17" i="5"/>
  <c r="AM17" i="5"/>
  <c r="P18" i="5"/>
  <c r="AD18" i="5" s="1"/>
  <c r="AE18" i="5"/>
  <c r="AG18" i="5"/>
  <c r="AI18" i="5"/>
  <c r="AL18" i="5"/>
  <c r="AM18" i="5"/>
  <c r="P19" i="5"/>
  <c r="AD19" i="5" s="1"/>
  <c r="AE19" i="5"/>
  <c r="AG19" i="5"/>
  <c r="AI19" i="5"/>
  <c r="AL19" i="5"/>
  <c r="AM19" i="5"/>
  <c r="P20" i="5"/>
  <c r="AD20" i="5" s="1"/>
  <c r="AE20" i="5"/>
  <c r="AG20" i="5"/>
  <c r="AI20" i="5"/>
  <c r="AL20" i="5"/>
  <c r="AM20" i="5"/>
  <c r="P21" i="5"/>
  <c r="AD21" i="5"/>
  <c r="AE21" i="5"/>
  <c r="AG21" i="5"/>
  <c r="AI21" i="5"/>
  <c r="AL21" i="5"/>
  <c r="AM21" i="5"/>
  <c r="P22" i="5"/>
  <c r="AD22" i="5" s="1"/>
  <c r="AE22" i="5"/>
  <c r="AG22" i="5"/>
  <c r="AL22" i="5"/>
  <c r="AM22" i="5"/>
  <c r="P23" i="5"/>
  <c r="AI23" i="5" s="1"/>
  <c r="AD23" i="5"/>
  <c r="AE23" i="5"/>
  <c r="AG23" i="5"/>
  <c r="AL23" i="5"/>
  <c r="AM23" i="5"/>
  <c r="P24" i="5"/>
  <c r="AD24" i="5"/>
  <c r="AE24" i="5"/>
  <c r="AG24" i="5"/>
  <c r="AI24" i="5"/>
  <c r="AL24" i="5"/>
  <c r="AM24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AI17" i="5" l="1"/>
  <c r="AI6" i="5"/>
  <c r="AD4" i="5"/>
  <c r="AI22" i="5"/>
  <c r="AI15" i="5"/>
  <c r="AI10" i="5"/>
  <c r="AI14" i="5"/>
  <c r="AI9" i="5"/>
  <c r="K2" i="5" l="1"/>
</calcChain>
</file>

<file path=xl/sharedStrings.xml><?xml version="1.0" encoding="utf-8"?>
<sst xmlns="http://schemas.openxmlformats.org/spreadsheetml/2006/main" count="842" uniqueCount="154">
  <si>
    <t>Crop</t>
  </si>
  <si>
    <t>Yield (tons/ha)</t>
  </si>
  <si>
    <t>GP1</t>
  </si>
  <si>
    <t>GP2</t>
  </si>
  <si>
    <t>GP3</t>
  </si>
  <si>
    <t>GP4</t>
  </si>
  <si>
    <t>Alfalfa</t>
  </si>
  <si>
    <t>Barley</t>
  </si>
  <si>
    <t>Carrots</t>
  </si>
  <si>
    <t>Citrus</t>
  </si>
  <si>
    <t>Cucumber</t>
  </si>
  <si>
    <t>Dates</t>
  </si>
  <si>
    <t>Dry Onion</t>
  </si>
  <si>
    <t>Eggplant</t>
  </si>
  <si>
    <t>Grapes</t>
  </si>
  <si>
    <t>Maize</t>
  </si>
  <si>
    <t>Melon</t>
  </si>
  <si>
    <t>Millet</t>
  </si>
  <si>
    <t>Okra</t>
  </si>
  <si>
    <t>Other Cereal</t>
  </si>
  <si>
    <t>Other Fodder</t>
  </si>
  <si>
    <t>Other Fruits</t>
  </si>
  <si>
    <t>Other Vegetables</t>
  </si>
  <si>
    <t>Potato</t>
  </si>
  <si>
    <t>Sesame</t>
  </si>
  <si>
    <t>Sorghum</t>
  </si>
  <si>
    <t>Squash</t>
  </si>
  <si>
    <t>Tomato</t>
  </si>
  <si>
    <t>Watermelon</t>
  </si>
  <si>
    <t>Wheat</t>
  </si>
  <si>
    <t>CropDemandSaudi</t>
  </si>
  <si>
    <t>CropDemandWorld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</si>
  <si>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</si>
  <si>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</si>
  <si>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</si>
  <si>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</si>
  <si>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</si>
  <si>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</si>
  <si>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</si>
  <si>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</si>
  <si>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</si>
  <si>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</si>
  <si>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</si>
  <si>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</si>
  <si>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Saudi</t>
  </si>
  <si>
    <t>IrrArea (ha)</t>
  </si>
  <si>
    <t>RFArea (ha)</t>
  </si>
  <si>
    <t>phase#</t>
  </si>
  <si>
    <t>phasefactor</t>
  </si>
  <si>
    <t>Catchment</t>
  </si>
  <si>
    <t>CropDemand (tons)</t>
  </si>
  <si>
    <t>ImportPrice ($/ton)</t>
  </si>
  <si>
    <t>CulCost ($/ha)</t>
  </si>
  <si>
    <t>ImportCost ($/ton)</t>
  </si>
  <si>
    <t>CulCost ($/ton)</t>
  </si>
  <si>
    <t>SaudiMP ($/ton)</t>
  </si>
  <si>
    <t>WorldMP ($/ton)</t>
  </si>
  <si>
    <t>saudi ben</t>
  </si>
  <si>
    <t>Category</t>
  </si>
  <si>
    <t>Feed</t>
  </si>
  <si>
    <t>Food</t>
  </si>
  <si>
    <t>Calories per ton</t>
  </si>
  <si>
    <t>MaizeFeed</t>
  </si>
  <si>
    <t>MaizeFood</t>
  </si>
  <si>
    <t>Protein per ton</t>
  </si>
  <si>
    <t>Historical Demand</t>
  </si>
  <si>
    <t>Saudi Cost - ben</t>
  </si>
  <si>
    <t>World Cost - ben</t>
  </si>
  <si>
    <t>Sorghum and Millet</t>
  </si>
  <si>
    <t>Potatoes</t>
  </si>
  <si>
    <t>Sesame Seed</t>
  </si>
  <si>
    <t>Tomatoes</t>
  </si>
  <si>
    <t>Dry Onions</t>
  </si>
  <si>
    <t>Watermelons</t>
  </si>
  <si>
    <t>Melons and Canteloupes</t>
  </si>
  <si>
    <t>Cucumbers and Gherkins</t>
  </si>
  <si>
    <t>Other Fruit</t>
  </si>
  <si>
    <t>Green Fodders</t>
  </si>
  <si>
    <t>Calories (MT)</t>
  </si>
  <si>
    <t>Protein (kgs)</t>
  </si>
  <si>
    <t>Population</t>
  </si>
  <si>
    <t>Calorie per capita</t>
  </si>
  <si>
    <t>Protein per capita</t>
  </si>
  <si>
    <t>Rice</t>
  </si>
  <si>
    <t>Other Cereals</t>
  </si>
  <si>
    <t>Pulses</t>
  </si>
  <si>
    <t>Lentils</t>
  </si>
  <si>
    <t>Dry Broad Beans</t>
  </si>
  <si>
    <t>Green Beans</t>
  </si>
  <si>
    <t>Watermelons and melons</t>
  </si>
  <si>
    <t>Orange and Mandarin</t>
  </si>
  <si>
    <t>Lemons</t>
  </si>
  <si>
    <t>Banana</t>
  </si>
  <si>
    <t>Apple</t>
  </si>
  <si>
    <t>Mangoes</t>
  </si>
  <si>
    <t>Chick-Peas</t>
  </si>
  <si>
    <t>Import Price ($/ton)</t>
  </si>
  <si>
    <t>Producer Price</t>
  </si>
  <si>
    <t>Difference</t>
  </si>
  <si>
    <t>Import Cost ($/ton)</t>
  </si>
  <si>
    <t>Total Tons</t>
  </si>
  <si>
    <t>Calorie</t>
  </si>
  <si>
    <t>Protein</t>
  </si>
  <si>
    <t>white corn</t>
  </si>
  <si>
    <t>Sweet corn</t>
  </si>
  <si>
    <t>Other grains</t>
  </si>
  <si>
    <t>HA</t>
  </si>
  <si>
    <t>tons</t>
  </si>
  <si>
    <t>Other grain</t>
  </si>
  <si>
    <t>Total</t>
  </si>
  <si>
    <t>Other Grain</t>
  </si>
  <si>
    <t>Crops</t>
  </si>
  <si>
    <t>Cultivated area (Hectares)</t>
  </si>
  <si>
    <t>Total production quantity (tons)</t>
  </si>
  <si>
    <t>Potatos</t>
  </si>
  <si>
    <t>Tomatos</t>
  </si>
  <si>
    <t>Dry onion</t>
  </si>
  <si>
    <t>Zucchini</t>
  </si>
  <si>
    <t>Chili</t>
  </si>
  <si>
    <t>Green onion</t>
  </si>
  <si>
    <t>Bell pepper</t>
  </si>
  <si>
    <t>Other</t>
  </si>
  <si>
    <t xml:space="preserve">Total </t>
  </si>
  <si>
    <t>Date trees</t>
  </si>
  <si>
    <t>area (ha)</t>
  </si>
  <si>
    <t>yield</t>
  </si>
  <si>
    <t>Type</t>
  </si>
  <si>
    <t>Total number of trees</t>
  </si>
  <si>
    <t>Number of fruitful trees</t>
  </si>
  <si>
    <t xml:space="preserve"> Production quantity (tons)</t>
  </si>
  <si>
    <t>Olive</t>
  </si>
  <si>
    <t>Lemon</t>
  </si>
  <si>
    <t>Mango</t>
  </si>
  <si>
    <t>Pomegranate</t>
  </si>
  <si>
    <t>Fig</t>
  </si>
  <si>
    <t xml:space="preserve"> Papai</t>
  </si>
  <si>
    <t>Orange</t>
  </si>
  <si>
    <t>Henna</t>
  </si>
  <si>
    <t>حeach</t>
  </si>
  <si>
    <t>Apricots</t>
  </si>
  <si>
    <t xml:space="preserve">Coffee </t>
  </si>
  <si>
    <t>Other perennial trees</t>
  </si>
  <si>
    <t>Area (ha)</t>
  </si>
  <si>
    <t>Trees per ha</t>
  </si>
  <si>
    <t>Harvest</t>
  </si>
  <si>
    <t>Grain</t>
  </si>
  <si>
    <t>Vegetables</t>
  </si>
  <si>
    <t>Palm trees</t>
  </si>
  <si>
    <t>Production (tons)</t>
  </si>
  <si>
    <t>Fruit Trees</t>
  </si>
  <si>
    <t>Edible vbleegetables, plants, roots and food tubers</t>
  </si>
  <si>
    <t xml:space="preserve">Edible fruits; citrus peels and watermelon or melons peels </t>
  </si>
  <si>
    <t>Fodder</t>
  </si>
  <si>
    <t>Imports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</si>
</sst>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_-* #,##0.00\ _ر_._س_._‏_-;\-* #,##0.00\ _ر_._س_._‏_-;_-* &quot;-&quot;??\ _ر_._س_._‏_-;_-@_-"/>
    <numFmt numFmtId="166" formatCode="_(* #,##0_);_(* \(#,##0\);_(* &quot;-&quot;??_);_(@_)"/>
    <numFmt numFmtId="169" formatCode="#,##0.0000"/>
  </numFmts>
  <fonts count="7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8"/>
      <color theme="0"/>
      <name val="Frutiger LT Arabic 55 Roman"/>
    </font>
    <font>
      <sz val="8"/>
      <name val="Frutiger LT Arabic 55 Roman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497B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8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3" fontId="0" fillId="0" borderId="0" xfId="0" applyNumberFormat="1"/>
    <xf numFmtId="0" fontId="0" fillId="0" borderId="1" xfId="0" applyBorder="1" applyAlignment="1">
      <alignment wrapText="1"/>
    </xf>
    <xf numFmtId="2" fontId="0" fillId="0" borderId="0" xfId="0" applyNumberFormat="1" applyAlignment="1">
      <alignment wrapText="1"/>
    </xf>
    <xf numFmtId="0" fontId="0" fillId="0" borderId="0" xfId="0" applyAlignment="1">
      <alignment horizontal="right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  <xf numFmtId="44" fontId="0" fillId="0" borderId="0" xfId="1" applyFont="1"/>
    <xf numFmtId="44" fontId="0" fillId="2" borderId="0" xfId="1" applyFont="1" applyFill="1"/>
    <xf numFmtId="44" fontId="0" fillId="0" borderId="0" xfId="0" applyNumberFormat="1"/>
    <xf numFmtId="44" fontId="0" fillId="0" borderId="0" xfId="1" applyFont="1" applyFill="1"/>
    <xf numFmtId="1" fontId="0" fillId="0" borderId="0" xfId="0" applyNumberFormat="1" applyAlignment="1">
      <alignment horizontal="right"/>
    </xf>
    <xf numFmtId="164" fontId="0" fillId="0" borderId="0" xfId="0" applyNumberFormat="1"/>
    <xf numFmtId="1" fontId="0" fillId="0" borderId="0" xfId="0" applyNumberFormat="1"/>
    <xf numFmtId="0" fontId="5" fillId="4" borderId="2" xfId="3" applyFont="1" applyFill="1" applyBorder="1" applyAlignment="1">
      <alignment horizontal="center" vertical="center" wrapText="1" shrinkToFit="1"/>
    </xf>
    <xf numFmtId="3" fontId="6" fillId="5" borderId="2" xfId="4" applyNumberFormat="1" applyFont="1" applyFill="1" applyBorder="1" applyAlignment="1">
      <alignment horizontal="center" vertical="center" shrinkToFit="1"/>
    </xf>
    <xf numFmtId="3" fontId="6" fillId="3" borderId="2" xfId="4" applyNumberFormat="1" applyFont="1" applyFill="1" applyBorder="1" applyAlignment="1">
      <alignment horizontal="center" vertical="center" shrinkToFit="1"/>
    </xf>
    <xf numFmtId="0" fontId="5" fillId="4" borderId="0" xfId="3" applyFont="1" applyFill="1" applyAlignment="1">
      <alignment horizontal="center" vertical="center" wrapText="1" shrinkToFit="1"/>
    </xf>
    <xf numFmtId="0" fontId="5" fillId="4" borderId="3" xfId="3" applyFont="1" applyFill="1" applyBorder="1" applyAlignment="1">
      <alignment horizontal="center" vertical="center" wrapText="1" shrinkToFit="1"/>
    </xf>
    <xf numFmtId="166" fontId="5" fillId="4" borderId="5" xfId="2" applyNumberFormat="1" applyFont="1" applyFill="1" applyBorder="1" applyAlignment="1">
      <alignment horizontal="center" vertical="center" wrapText="1" shrinkToFit="1"/>
    </xf>
    <xf numFmtId="166" fontId="0" fillId="0" borderId="0" xfId="0" applyNumberFormat="1"/>
    <xf numFmtId="43" fontId="0" fillId="0" borderId="0" xfId="0" applyNumberFormat="1"/>
    <xf numFmtId="0" fontId="0" fillId="0" borderId="0" xfId="0" applyAlignment="1">
      <alignment horizontal="right"/>
    </xf>
    <xf numFmtId="3" fontId="6" fillId="3" borderId="3" xfId="4" applyNumberFormat="1" applyFont="1" applyFill="1" applyBorder="1" applyAlignment="1">
      <alignment horizontal="center" vertical="center" shrinkToFit="1"/>
    </xf>
    <xf numFmtId="3" fontId="6" fillId="5" borderId="3" xfId="4" applyNumberFormat="1" applyFont="1" applyFill="1" applyBorder="1" applyAlignment="1">
      <alignment horizontal="center" vertical="center" shrinkToFit="1"/>
    </xf>
    <xf numFmtId="3" fontId="6" fillId="3" borderId="6" xfId="4" applyNumberFormat="1" applyFont="1" applyFill="1" applyBorder="1" applyAlignment="1">
      <alignment horizontal="center" vertical="center" shrinkToFit="1"/>
    </xf>
    <xf numFmtId="3" fontId="6" fillId="5" borderId="7" xfId="4" applyNumberFormat="1" applyFont="1" applyFill="1" applyBorder="1" applyAlignment="1">
      <alignment horizontal="center" vertical="center" shrinkToFit="1"/>
    </xf>
    <xf numFmtId="0" fontId="3" fillId="0" borderId="0" xfId="0" applyFont="1"/>
    <xf numFmtId="3" fontId="3" fillId="0" borderId="0" xfId="0" applyNumberFormat="1" applyFont="1"/>
    <xf numFmtId="3" fontId="0" fillId="6" borderId="0" xfId="0" applyNumberFormat="1" applyFill="1"/>
    <xf numFmtId="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right" wrapText="1"/>
    </xf>
    <xf numFmtId="0" fontId="5" fillId="4" borderId="4" xfId="3" applyFont="1" applyFill="1" applyBorder="1" applyAlignment="1">
      <alignment horizontal="center" vertical="center" wrapText="1" shrinkToFit="1"/>
    </xf>
    <xf numFmtId="0" fontId="5" fillId="4" borderId="5" xfId="3" applyFont="1" applyFill="1" applyBorder="1" applyAlignment="1">
      <alignment horizontal="center" vertical="center" wrapText="1" shrinkToFi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9" fontId="0" fillId="0" borderId="0" xfId="0" applyNumberFormat="1"/>
  </cellXfs>
  <cellStyles count="5">
    <cellStyle name="Comma" xfId="2" builtinId="3"/>
    <cellStyle name="Comma 2 2 2" xfId="4" xr:uid="{D0C5D044-2979-4D97-9183-AF07617313DA}"/>
    <cellStyle name="Currency" xfId="1" builtinId="4"/>
    <cellStyle name="Normal" xfId="0" builtinId="0"/>
    <cellStyle name="عادي 2 3 2" xfId="3" xr:uid="{09BCBCE9-427B-4D87-B65F-EAC8C6FC368C}"/>
  </cellStyles>
  <dxfs count="7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9" tint="0.59996337778862885"/>
        </patternFill>
      </fill>
      <border>
        <left/>
        <right/>
        <top/>
        <bottom/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9" tint="0.59996337778862885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9" tint="0.59996337778862885"/>
        </patternFill>
      </fill>
      <border>
        <left/>
        <right/>
        <top/>
        <bottom/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9" tint="0.59996337778862885"/>
        </patternFill>
      </fill>
      <border>
        <left/>
        <right/>
        <top/>
        <bottom/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9" tint="0.59996337778862885"/>
        </patternFill>
      </fill>
      <border>
        <left/>
        <right/>
        <top/>
        <bottom/>
        <vertical/>
        <horizontal/>
      </border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668E7-91A0-47C2-A79B-8E6962418F0A}">
  <dimension ref="A1:P50"/>
  <sheetViews>
    <sheetView zoomScale="80" zoomScaleNormal="80" workbookViewId="0">
      <selection activeCell="I2" sqref="I2:I24"/>
    </sheetView>
  </sheetViews>
  <sheetFormatPr defaultRowHeight="14.4"/>
  <cols>
    <col min="1" max="1" width="15.734375" bestFit="1" customWidth="1"/>
    <col min="3" max="3" width="12.1015625" bestFit="1" customWidth="1"/>
    <col min="4" max="4" width="12.7890625" bestFit="1" customWidth="1"/>
    <col min="8" max="8" width="9.9453125" bestFit="1" customWidth="1"/>
    <col min="9" max="9" width="12.26171875" bestFit="1" customWidth="1"/>
    <col min="11" max="12" width="20.68359375" customWidth="1"/>
    <col min="13" max="13" width="19.41796875" customWidth="1"/>
    <col min="14" max="14" width="10.9453125" bestFit="1" customWidth="1"/>
    <col min="16" max="16" width="12.41796875" bestFit="1" customWidth="1"/>
  </cols>
  <sheetData>
    <row r="1" spans="1:16">
      <c r="A1" t="s">
        <v>0</v>
      </c>
      <c r="B1" t="s">
        <v>1</v>
      </c>
      <c r="C1" t="s">
        <v>52</v>
      </c>
      <c r="D1" t="s">
        <v>54</v>
      </c>
      <c r="E1" t="s">
        <v>58</v>
      </c>
      <c r="F1" t="s">
        <v>61</v>
      </c>
      <c r="G1" t="s">
        <v>64</v>
      </c>
      <c r="H1" t="s">
        <v>45</v>
      </c>
      <c r="I1" t="s">
        <v>100</v>
      </c>
      <c r="L1" s="33"/>
      <c r="M1" s="33"/>
    </row>
    <row r="2" spans="1:16">
      <c r="A2" t="s">
        <v>92</v>
      </c>
      <c r="B2" s="2">
        <v>16.399999999999999</v>
      </c>
      <c r="C2" s="9">
        <f>D2*B2</f>
        <v>35506</v>
      </c>
      <c r="D2" s="9">
        <v>2165</v>
      </c>
      <c r="E2" t="s">
        <v>60</v>
      </c>
      <c r="F2" s="3">
        <f>600000</f>
        <v>600000</v>
      </c>
      <c r="G2">
        <v>7</v>
      </c>
      <c r="H2" s="32">
        <v>2141.4237804878044</v>
      </c>
      <c r="I2" s="32">
        <v>35119.349999999991</v>
      </c>
      <c r="J2">
        <v>3.4684103248408807E-3</v>
      </c>
      <c r="K2" s="3"/>
      <c r="L2" s="39">
        <f>I2/SUM(I$2:I$24)</f>
        <v>3.4684103248408807E-3</v>
      </c>
      <c r="M2" s="3"/>
      <c r="N2" s="3"/>
      <c r="P2" s="1"/>
    </row>
    <row r="3" spans="1:16">
      <c r="A3" t="s">
        <v>9</v>
      </c>
      <c r="B3" s="2">
        <v>22.129521580114183</v>
      </c>
      <c r="C3" s="9">
        <v>26863.765372121379</v>
      </c>
      <c r="D3" s="9">
        <v>1213.9333999999999</v>
      </c>
      <c r="E3" t="s">
        <v>60</v>
      </c>
      <c r="F3" s="3">
        <v>260000</v>
      </c>
      <c r="G3">
        <v>60</v>
      </c>
      <c r="H3" s="32">
        <v>6586.8559363520308</v>
      </c>
      <c r="I3" s="32">
        <v>155150.07579818054</v>
      </c>
      <c r="J3">
        <v>1.5322724503678307E-2</v>
      </c>
      <c r="K3" s="3"/>
      <c r="L3" s="39">
        <f t="shared" ref="L3:L25" si="0">I3/SUM(I$2:I$24)</f>
        <v>1.5322724503678307E-2</v>
      </c>
      <c r="M3" s="3"/>
      <c r="N3" s="3"/>
      <c r="P3" s="1"/>
    </row>
    <row r="4" spans="1:16">
      <c r="A4" t="s">
        <v>10</v>
      </c>
      <c r="B4" s="2">
        <v>22.000000000000004</v>
      </c>
      <c r="C4" s="9">
        <v>31807.600000000006</v>
      </c>
      <c r="D4" s="9">
        <v>1445.8</v>
      </c>
      <c r="E4" t="s">
        <v>60</v>
      </c>
      <c r="F4" s="3">
        <v>130000</v>
      </c>
      <c r="G4">
        <v>60</v>
      </c>
      <c r="H4" s="32">
        <v>990.80892778724285</v>
      </c>
      <c r="I4" s="32">
        <v>21797.796411319345</v>
      </c>
      <c r="J4">
        <v>2.1527648470657779E-3</v>
      </c>
      <c r="K4" s="3"/>
      <c r="L4" s="39">
        <f t="shared" si="0"/>
        <v>2.1527648470657779E-3</v>
      </c>
      <c r="M4" s="3"/>
      <c r="N4" s="3"/>
      <c r="P4" s="1"/>
    </row>
    <row r="5" spans="1:16">
      <c r="A5" t="s">
        <v>11</v>
      </c>
      <c r="B5" s="2">
        <v>10.3</v>
      </c>
      <c r="C5" s="9">
        <v>23848.88233490783</v>
      </c>
      <c r="D5" s="9">
        <v>3880.7</v>
      </c>
      <c r="E5" t="s">
        <v>60</v>
      </c>
      <c r="F5" s="3">
        <v>1560000</v>
      </c>
      <c r="G5">
        <v>15</v>
      </c>
      <c r="H5" s="32">
        <v>184767.19255994214</v>
      </c>
      <c r="I5" s="32">
        <v>1903102.0833674036</v>
      </c>
      <c r="J5">
        <v>0.18795162539106489</v>
      </c>
      <c r="K5" s="3"/>
      <c r="L5" s="39">
        <f t="shared" si="0"/>
        <v>0.18795162539106489</v>
      </c>
      <c r="M5" s="3"/>
      <c r="N5" s="3"/>
      <c r="P5" s="1"/>
    </row>
    <row r="6" spans="1:16">
      <c r="A6" t="s">
        <v>12</v>
      </c>
      <c r="B6" s="2">
        <v>75.279911830637772</v>
      </c>
      <c r="C6" s="9">
        <v>69475.830628495605</v>
      </c>
      <c r="D6" s="9">
        <v>922.9</v>
      </c>
      <c r="E6" t="s">
        <v>60</v>
      </c>
      <c r="F6" s="3">
        <v>310000</v>
      </c>
      <c r="G6">
        <v>110</v>
      </c>
      <c r="H6" s="32">
        <v>4164.4001954381192</v>
      </c>
      <c r="I6" s="32">
        <v>313495.67954007233</v>
      </c>
      <c r="J6">
        <v>3.096104146887101E-2</v>
      </c>
      <c r="K6" s="3"/>
      <c r="L6" s="39">
        <f t="shared" si="0"/>
        <v>3.096104146887101E-2</v>
      </c>
      <c r="M6" s="3"/>
      <c r="N6" s="3"/>
      <c r="P6" s="1"/>
    </row>
    <row r="7" spans="1:16">
      <c r="A7" t="s">
        <v>13</v>
      </c>
      <c r="B7" s="2">
        <v>17.130737519315112</v>
      </c>
      <c r="C7" s="9">
        <v>23590.738637848837</v>
      </c>
      <c r="D7" s="9">
        <v>1377.1</v>
      </c>
      <c r="E7" t="s">
        <v>60</v>
      </c>
      <c r="F7" s="3">
        <v>210000</v>
      </c>
      <c r="G7">
        <v>90</v>
      </c>
      <c r="H7" s="32">
        <v>3414.7126853213749</v>
      </c>
      <c r="I7" s="32">
        <v>58496.546716116129</v>
      </c>
      <c r="J7">
        <v>5.7771577947118647E-3</v>
      </c>
      <c r="K7" s="3"/>
      <c r="L7" s="39">
        <f t="shared" si="0"/>
        <v>5.7771577947118647E-3</v>
      </c>
      <c r="M7" s="3"/>
      <c r="N7" s="3"/>
      <c r="P7" s="1"/>
    </row>
    <row r="8" spans="1:16">
      <c r="A8" t="s">
        <v>152</v>
      </c>
      <c r="B8" s="2">
        <v>20.9</v>
      </c>
      <c r="C8" s="9">
        <v>15418.121365877587</v>
      </c>
      <c r="D8" s="9">
        <v>739.24066780412409</v>
      </c>
      <c r="E8" t="s">
        <v>59</v>
      </c>
      <c r="F8" s="3">
        <v>240000</v>
      </c>
      <c r="G8">
        <v>25</v>
      </c>
      <c r="H8" s="32">
        <v>119822.52953148581</v>
      </c>
      <c r="I8" s="32">
        <v>2499102.637535647</v>
      </c>
      <c r="J8">
        <v>0.24681303585817269</v>
      </c>
      <c r="K8" s="3"/>
      <c r="L8" s="39">
        <f t="shared" si="0"/>
        <v>0.24681303585817269</v>
      </c>
      <c r="M8" s="3"/>
      <c r="N8" s="3"/>
      <c r="P8" s="1"/>
    </row>
    <row r="9" spans="1:16">
      <c r="A9" t="s">
        <v>14</v>
      </c>
      <c r="B9" s="2">
        <v>23.4</v>
      </c>
      <c r="C9" s="9">
        <v>40567.252173913039</v>
      </c>
      <c r="D9" s="9">
        <v>3368.4</v>
      </c>
      <c r="E9" t="s">
        <v>60</v>
      </c>
      <c r="F9" s="3">
        <v>530000</v>
      </c>
      <c r="G9">
        <v>50</v>
      </c>
      <c r="H9" s="32">
        <v>5225.5617735042742</v>
      </c>
      <c r="I9" s="32">
        <v>122278.14550000001</v>
      </c>
      <c r="J9">
        <v>1.207627084084972E-2</v>
      </c>
      <c r="K9" s="3"/>
      <c r="L9" s="39">
        <f t="shared" si="0"/>
        <v>1.207627084084972E-2</v>
      </c>
      <c r="M9" s="3"/>
      <c r="N9" s="3"/>
      <c r="P9" s="1"/>
    </row>
    <row r="10" spans="1:16">
      <c r="A10" t="s">
        <v>62</v>
      </c>
      <c r="B10" s="2">
        <v>7.3545716303950934</v>
      </c>
      <c r="C10" s="9">
        <v>8904.1798729193397</v>
      </c>
      <c r="D10" s="9">
        <v>1210.7</v>
      </c>
      <c r="E10" t="s">
        <v>59</v>
      </c>
      <c r="F10" s="3">
        <v>240000</v>
      </c>
      <c r="G10">
        <v>25</v>
      </c>
      <c r="H10" s="32">
        <f>13633.0893003796/2</f>
        <v>6816.5446501898004</v>
      </c>
      <c r="I10" s="32">
        <v>50132.765901607389</v>
      </c>
      <c r="J10">
        <v>4.9511452480175723E-3</v>
      </c>
      <c r="K10" s="3"/>
      <c r="L10" s="39">
        <f t="shared" si="0"/>
        <v>4.9511452480175723E-3</v>
      </c>
      <c r="M10" s="3"/>
      <c r="N10" s="3"/>
      <c r="P10" s="1"/>
    </row>
    <row r="11" spans="1:16">
      <c r="A11" t="s">
        <v>63</v>
      </c>
      <c r="B11" s="2">
        <v>7.3545716303950934</v>
      </c>
      <c r="C11" s="9">
        <v>8904.1798729193397</v>
      </c>
      <c r="D11" s="9">
        <v>1210.7</v>
      </c>
      <c r="E11" t="s">
        <v>60</v>
      </c>
      <c r="F11" s="3">
        <v>3560000</v>
      </c>
      <c r="G11">
        <v>100</v>
      </c>
      <c r="H11" s="32">
        <f>13633.0893003796/2</f>
        <v>6816.5446501898004</v>
      </c>
      <c r="I11" s="32">
        <v>50132.765901607389</v>
      </c>
      <c r="J11">
        <v>4.9511452480175723E-3</v>
      </c>
      <c r="K11" s="3"/>
      <c r="L11" s="39">
        <f t="shared" si="0"/>
        <v>4.9511452480175723E-3</v>
      </c>
      <c r="M11" s="3"/>
      <c r="N11" s="3"/>
      <c r="P11" s="1"/>
    </row>
    <row r="12" spans="1:16">
      <c r="A12" t="s">
        <v>132</v>
      </c>
      <c r="B12" s="2">
        <v>12.8</v>
      </c>
      <c r="C12" s="9">
        <f t="shared" ref="C12:C13" si="1">D12*B12</f>
        <v>27712</v>
      </c>
      <c r="D12" s="9">
        <v>2165</v>
      </c>
      <c r="E12" t="s">
        <v>60</v>
      </c>
      <c r="F12" s="3">
        <f>450000</f>
        <v>450000</v>
      </c>
      <c r="G12">
        <v>4</v>
      </c>
      <c r="H12" s="32">
        <v>7545.3301562499992</v>
      </c>
      <c r="I12" s="32">
        <v>96580.225999999995</v>
      </c>
      <c r="J12">
        <v>9.5383272479093641E-3</v>
      </c>
      <c r="K12" s="3"/>
      <c r="L12" s="39">
        <f t="shared" si="0"/>
        <v>9.5383272479093641E-3</v>
      </c>
      <c r="M12" s="3"/>
      <c r="N12" s="3"/>
      <c r="P12" s="1"/>
    </row>
    <row r="13" spans="1:16">
      <c r="A13" t="s">
        <v>130</v>
      </c>
      <c r="B13" s="2">
        <v>12</v>
      </c>
      <c r="C13" s="9">
        <f t="shared" si="1"/>
        <v>25980</v>
      </c>
      <c r="D13" s="9">
        <v>2165</v>
      </c>
      <c r="E13" t="s">
        <v>60</v>
      </c>
      <c r="F13" s="3">
        <v>1750000</v>
      </c>
      <c r="G13">
        <v>13</v>
      </c>
      <c r="H13" s="32">
        <v>28565.058280833331</v>
      </c>
      <c r="I13" s="32">
        <v>342780.69936999999</v>
      </c>
      <c r="J13">
        <v>3.3853249472188013E-2</v>
      </c>
      <c r="K13" s="3"/>
      <c r="L13" s="39">
        <f t="shared" si="0"/>
        <v>3.3853249472188013E-2</v>
      </c>
      <c r="M13" s="3"/>
      <c r="N13" s="3"/>
      <c r="P13" s="1"/>
    </row>
    <row r="14" spans="1:16">
      <c r="A14" t="s">
        <v>76</v>
      </c>
      <c r="B14" s="2">
        <v>8.2364336211789411</v>
      </c>
      <c r="C14" s="9">
        <v>17831.878789852406</v>
      </c>
      <c r="D14" s="9">
        <v>2165</v>
      </c>
      <c r="E14" t="s">
        <v>60</v>
      </c>
      <c r="F14" s="3">
        <v>450000</v>
      </c>
      <c r="G14">
        <v>50</v>
      </c>
      <c r="H14" s="32">
        <v>10918.364941057447</v>
      </c>
      <c r="I14" s="32">
        <v>695369.14490165329</v>
      </c>
      <c r="J14">
        <v>6.8675118467530549E-2</v>
      </c>
      <c r="K14" s="3"/>
      <c r="L14" s="39">
        <f t="shared" si="0"/>
        <v>6.8675118467530549E-2</v>
      </c>
      <c r="M14" s="3"/>
      <c r="N14" s="3"/>
      <c r="P14" s="1"/>
    </row>
    <row r="15" spans="1:16">
      <c r="A15" t="s">
        <v>110</v>
      </c>
      <c r="B15" s="2">
        <v>4.2107800318307786</v>
      </c>
      <c r="C15" s="9">
        <v>4236.0447120217632</v>
      </c>
      <c r="D15" s="9">
        <v>1006</v>
      </c>
      <c r="E15" t="s">
        <v>59</v>
      </c>
      <c r="F15" s="3">
        <v>240000</v>
      </c>
      <c r="G15">
        <v>25</v>
      </c>
      <c r="H15" s="32">
        <v>41915.465392080077</v>
      </c>
      <c r="I15" s="32">
        <v>160033.53967521037</v>
      </c>
      <c r="J15">
        <v>1.5805018638737119E-2</v>
      </c>
      <c r="K15" s="3"/>
      <c r="L15" s="39">
        <f t="shared" si="0"/>
        <v>1.5805018638737119E-2</v>
      </c>
      <c r="M15" s="3"/>
      <c r="N15" s="3"/>
      <c r="P15" s="1"/>
    </row>
    <row r="16" spans="1:16">
      <c r="A16" t="s">
        <v>22</v>
      </c>
      <c r="B16" s="2">
        <v>19.890541026979577</v>
      </c>
      <c r="C16" s="9">
        <v>33316.656220190787</v>
      </c>
      <c r="D16" s="9">
        <v>1675</v>
      </c>
      <c r="E16" t="s">
        <v>60</v>
      </c>
      <c r="F16" s="3">
        <v>220000</v>
      </c>
      <c r="G16">
        <v>140</v>
      </c>
      <c r="H16" s="32">
        <v>21461.102353968785</v>
      </c>
      <c r="I16" s="32">
        <v>420510.78742639488</v>
      </c>
      <c r="J16">
        <v>4.1529924580514077E-2</v>
      </c>
      <c r="K16" s="3"/>
      <c r="L16" s="39">
        <f t="shared" si="0"/>
        <v>4.1529924580514077E-2</v>
      </c>
      <c r="M16" s="3"/>
      <c r="N16" s="3"/>
      <c r="P16" s="1"/>
    </row>
    <row r="17" spans="1:16">
      <c r="A17" t="s">
        <v>133</v>
      </c>
      <c r="B17" s="2">
        <v>19</v>
      </c>
      <c r="C17" s="9">
        <v>1953.1788594965926</v>
      </c>
      <c r="D17" s="9">
        <v>2165</v>
      </c>
      <c r="E17" t="s">
        <v>60</v>
      </c>
      <c r="F17" s="3">
        <f>480000</f>
        <v>480000</v>
      </c>
      <c r="G17">
        <v>4</v>
      </c>
      <c r="H17" s="32">
        <v>1953.1788594965926</v>
      </c>
      <c r="I17" s="32">
        <v>37110.398330435259</v>
      </c>
      <c r="J17">
        <v>3.665047579987655E-3</v>
      </c>
      <c r="K17" s="3"/>
      <c r="L17" s="39">
        <f t="shared" si="0"/>
        <v>3.665047579987655E-3</v>
      </c>
      <c r="M17" s="3"/>
      <c r="N17" s="3"/>
      <c r="P17" s="1"/>
    </row>
    <row r="18" spans="1:16">
      <c r="A18" t="s">
        <v>69</v>
      </c>
      <c r="B18" s="2">
        <v>36.392448616202699</v>
      </c>
      <c r="C18" s="9">
        <v>36075.834313241736</v>
      </c>
      <c r="D18" s="9">
        <v>991.3</v>
      </c>
      <c r="E18" t="s">
        <v>60</v>
      </c>
      <c r="F18" s="3">
        <v>670000</v>
      </c>
      <c r="G18">
        <v>160</v>
      </c>
      <c r="H18" s="32">
        <v>17084.623503441653</v>
      </c>
      <c r="I18" s="32">
        <v>621751.28297616926</v>
      </c>
      <c r="J18">
        <v>6.1404569542363681E-2</v>
      </c>
      <c r="K18" s="3"/>
      <c r="L18" s="39">
        <f t="shared" si="0"/>
        <v>6.1404569542363681E-2</v>
      </c>
      <c r="M18" s="3"/>
      <c r="N18" s="3"/>
      <c r="P18" s="1"/>
    </row>
    <row r="19" spans="1:16">
      <c r="A19" t="s">
        <v>83</v>
      </c>
      <c r="B19" s="2">
        <v>2.4</v>
      </c>
      <c r="C19" s="9">
        <f>D19*B19</f>
        <v>2414.4</v>
      </c>
      <c r="D19" s="9">
        <v>1006</v>
      </c>
      <c r="E19" t="s">
        <v>60</v>
      </c>
      <c r="F19" s="3">
        <v>3570000</v>
      </c>
      <c r="G19">
        <v>75</v>
      </c>
      <c r="H19" s="32">
        <v>385.8901515151515</v>
      </c>
      <c r="I19" s="32">
        <v>907.58889795167408</v>
      </c>
      <c r="J19">
        <v>8.9634082190204068E-5</v>
      </c>
      <c r="K19" s="3"/>
      <c r="L19" s="39">
        <f t="shared" si="0"/>
        <v>8.9634082190204068E-5</v>
      </c>
      <c r="M19" s="3"/>
      <c r="N19" s="3"/>
      <c r="P19" s="1"/>
    </row>
    <row r="20" spans="1:16">
      <c r="A20" t="s">
        <v>68</v>
      </c>
      <c r="B20" s="2">
        <v>2.635963005484891</v>
      </c>
      <c r="C20" s="9">
        <v>2969.4007709311195</v>
      </c>
      <c r="D20" s="9">
        <v>1126.4956164985676</v>
      </c>
      <c r="E20" s="14" t="s">
        <v>59</v>
      </c>
      <c r="F20" s="3">
        <v>240000</v>
      </c>
      <c r="G20">
        <v>25</v>
      </c>
      <c r="H20" s="32">
        <v>65366.2193484452</v>
      </c>
      <c r="I20" s="32">
        <v>170658</v>
      </c>
      <c r="J20">
        <v>1.6854297394931717E-2</v>
      </c>
      <c r="K20" s="3"/>
      <c r="L20" s="39">
        <f t="shared" si="0"/>
        <v>1.6854297394931717E-2</v>
      </c>
      <c r="M20" s="3"/>
      <c r="N20" s="3"/>
      <c r="P20" s="1"/>
    </row>
    <row r="21" spans="1:16">
      <c r="A21" t="s">
        <v>71</v>
      </c>
      <c r="B21" s="2">
        <v>29.980190820131554</v>
      </c>
      <c r="C21" s="9">
        <v>47107.873835672712</v>
      </c>
      <c r="D21" s="9">
        <v>1571.3</v>
      </c>
      <c r="E21" t="s">
        <v>60</v>
      </c>
      <c r="F21" s="31">
        <v>170000</v>
      </c>
      <c r="G21" s="15">
        <v>80</v>
      </c>
      <c r="H21" s="32">
        <v>13085.107324887944</v>
      </c>
      <c r="I21" s="32">
        <v>392294.01450204168</v>
      </c>
      <c r="J21">
        <v>3.8743217350895157E-2</v>
      </c>
      <c r="K21" s="3"/>
      <c r="L21" s="39">
        <f t="shared" si="0"/>
        <v>3.8743217350895157E-2</v>
      </c>
      <c r="M21" s="3"/>
      <c r="N21" s="3"/>
      <c r="P21" s="1"/>
    </row>
    <row r="22" spans="1:16">
      <c r="A22" t="s">
        <v>28</v>
      </c>
      <c r="B22" s="2">
        <v>25.940204488654853</v>
      </c>
      <c r="C22" s="9">
        <v>20586.146282196492</v>
      </c>
      <c r="D22" s="9">
        <v>793.6</v>
      </c>
      <c r="E22" t="s">
        <v>60</v>
      </c>
      <c r="F22" s="31">
        <v>170000</v>
      </c>
      <c r="G22" s="15">
        <v>30</v>
      </c>
      <c r="H22" s="32">
        <v>25794.499300167034</v>
      </c>
      <c r="I22" s="32">
        <v>613632.09029916418</v>
      </c>
      <c r="J22">
        <v>6.0602712682532936E-2</v>
      </c>
      <c r="K22" s="3"/>
      <c r="L22" s="39">
        <f t="shared" si="0"/>
        <v>6.0602712682532936E-2</v>
      </c>
      <c r="M22" s="3"/>
      <c r="N22" s="3"/>
      <c r="P22" s="1"/>
    </row>
    <row r="23" spans="1:16">
      <c r="A23" t="s">
        <v>29</v>
      </c>
      <c r="B23" s="2">
        <v>6.2561374951214175</v>
      </c>
      <c r="C23" s="9">
        <v>5223.2491946768714</v>
      </c>
      <c r="D23" s="9">
        <v>834.9</v>
      </c>
      <c r="E23" t="s">
        <v>60</v>
      </c>
      <c r="F23" s="31">
        <v>3340000</v>
      </c>
      <c r="G23" s="15">
        <v>122</v>
      </c>
      <c r="H23" s="32">
        <v>210102.47007746584</v>
      </c>
      <c r="I23" s="32">
        <v>1314427</v>
      </c>
      <c r="J23">
        <v>0.12981368328427562</v>
      </c>
      <c r="K23" s="3"/>
      <c r="L23" s="39">
        <f t="shared" si="0"/>
        <v>0.12981368328427562</v>
      </c>
      <c r="M23" s="3"/>
      <c r="N23" s="3"/>
      <c r="P23" s="1"/>
    </row>
    <row r="24" spans="1:16">
      <c r="A24" t="s">
        <v>117</v>
      </c>
      <c r="B24" s="2">
        <v>18.474057293703943</v>
      </c>
      <c r="C24" s="9">
        <f>D24*B24</f>
        <v>30944.045966954105</v>
      </c>
      <c r="D24" s="9">
        <v>1675</v>
      </c>
      <c r="E24" t="s">
        <v>60</v>
      </c>
      <c r="F24" s="3">
        <f>190000</f>
        <v>190000</v>
      </c>
      <c r="G24" s="15">
        <v>9</v>
      </c>
      <c r="H24" s="32">
        <v>2740.3947902731607</v>
      </c>
      <c r="I24" s="32">
        <v>50626.210362874175</v>
      </c>
      <c r="J24">
        <v>4.9998781506536772E-3</v>
      </c>
      <c r="L24" s="39">
        <f t="shared" si="0"/>
        <v>4.9998781506536772E-3</v>
      </c>
      <c r="M24" s="3"/>
      <c r="N24" s="2"/>
    </row>
    <row r="25" spans="1:16">
      <c r="L25" s="39"/>
      <c r="M25" s="3"/>
    </row>
    <row r="26" spans="1:16">
      <c r="I26" s="32"/>
      <c r="L26" s="3"/>
      <c r="M26" s="3"/>
    </row>
    <row r="27" spans="1:16">
      <c r="L27" s="3"/>
      <c r="M27" s="3"/>
    </row>
    <row r="28" spans="1:16">
      <c r="L28" s="3"/>
      <c r="M28" s="3"/>
    </row>
    <row r="29" spans="1:16">
      <c r="L29" s="3"/>
      <c r="M29" s="3"/>
    </row>
    <row r="30" spans="1:16">
      <c r="L30" s="3"/>
      <c r="M30" s="3"/>
    </row>
    <row r="31" spans="1:16">
      <c r="L31" s="3"/>
      <c r="M31" s="3"/>
    </row>
    <row r="32" spans="1:16">
      <c r="L32" s="3"/>
      <c r="M32" s="3"/>
    </row>
    <row r="33" spans="12:13">
      <c r="L33" s="3"/>
      <c r="M33" s="3"/>
    </row>
    <row r="34" spans="12:13">
      <c r="L34" s="3"/>
      <c r="M34" s="3"/>
    </row>
    <row r="35" spans="12:13">
      <c r="L35" s="3"/>
      <c r="M35" s="3"/>
    </row>
    <row r="36" spans="12:13">
      <c r="L36" s="3"/>
      <c r="M36" s="3"/>
    </row>
    <row r="37" spans="12:13">
      <c r="L37" s="3"/>
      <c r="M37" s="3"/>
    </row>
    <row r="38" spans="12:13">
      <c r="L38" s="3"/>
      <c r="M38" s="3"/>
    </row>
    <row r="39" spans="12:13">
      <c r="L39" s="3"/>
      <c r="M39" s="3"/>
    </row>
    <row r="40" spans="12:13">
      <c r="L40" s="3"/>
      <c r="M40" s="3"/>
    </row>
    <row r="41" spans="12:13">
      <c r="L41" s="3"/>
      <c r="M41" s="3"/>
    </row>
    <row r="42" spans="12:13">
      <c r="L42" s="3"/>
      <c r="M42" s="3"/>
    </row>
    <row r="43" spans="12:13">
      <c r="L43" s="3"/>
      <c r="M43" s="3"/>
    </row>
    <row r="44" spans="12:13">
      <c r="L44" s="3"/>
      <c r="M44" s="3"/>
    </row>
    <row r="45" spans="12:13">
      <c r="L45" s="3"/>
      <c r="M45" s="3"/>
    </row>
    <row r="46" spans="12:13">
      <c r="L46" s="3"/>
      <c r="M46" s="3"/>
    </row>
    <row r="47" spans="12:13">
      <c r="L47" s="3"/>
      <c r="M47" s="3"/>
    </row>
    <row r="48" spans="12:13">
      <c r="L48" s="3"/>
      <c r="M48" s="3"/>
    </row>
    <row r="49" spans="12:13">
      <c r="L49" s="3"/>
    </row>
    <row r="50" spans="12:13">
      <c r="L50" s="3"/>
      <c r="M50" s="3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CCA75-48C8-4AA5-AA06-8A4CBC72148E}">
  <dimension ref="A1:F29"/>
  <sheetViews>
    <sheetView tabSelected="1" zoomScale="90" zoomScaleNormal="90" workbookViewId="0">
      <selection activeCell="A4" sqref="A4"/>
    </sheetView>
  </sheetViews>
  <sheetFormatPr defaultRowHeight="14.4"/>
  <cols>
    <col min="1" max="1" width="20.68359375" bestFit="1" customWidth="1"/>
    <col min="3" max="3" width="13.1015625" bestFit="1" customWidth="1"/>
    <col min="4" max="4" width="12.15625" bestFit="1" customWidth="1"/>
    <col min="5" max="5" width="15.9453125" bestFit="1" customWidth="1"/>
    <col min="6" max="6" width="9.89453125" bestFit="1" customWidth="1"/>
    <col min="7" max="7" width="20.68359375" bestFit="1" customWidth="1"/>
  </cols>
  <sheetData>
    <row r="1" spans="1:6">
      <c r="A1" t="s">
        <v>0</v>
      </c>
      <c r="B1" t="s">
        <v>58</v>
      </c>
      <c r="C1" t="s">
        <v>61</v>
      </c>
      <c r="D1" t="s">
        <v>64</v>
      </c>
      <c r="E1" t="s">
        <v>99</v>
      </c>
    </row>
    <row r="2" spans="1:6">
      <c r="A2" t="s">
        <v>92</v>
      </c>
      <c r="B2" t="s">
        <v>60</v>
      </c>
      <c r="C2" s="3">
        <v>600000</v>
      </c>
      <c r="D2">
        <v>7</v>
      </c>
      <c r="E2" s="9">
        <v>1745.154117450131</v>
      </c>
      <c r="F2" s="11"/>
    </row>
    <row r="3" spans="1:6">
      <c r="A3" t="s">
        <v>9</v>
      </c>
      <c r="B3" t="s">
        <v>60</v>
      </c>
      <c r="C3" s="3">
        <v>260000</v>
      </c>
      <c r="D3">
        <v>60</v>
      </c>
      <c r="E3" s="9">
        <v>1898.8754666719735</v>
      </c>
      <c r="F3" s="11"/>
    </row>
    <row r="4" spans="1:6">
      <c r="A4" t="s">
        <v>10</v>
      </c>
      <c r="B4" t="s">
        <v>60</v>
      </c>
      <c r="C4" s="3">
        <v>130000</v>
      </c>
      <c r="D4">
        <v>60</v>
      </c>
      <c r="E4" s="9">
        <v>1287.9335664335665</v>
      </c>
      <c r="F4" s="11"/>
    </row>
    <row r="5" spans="1:6">
      <c r="A5" t="s">
        <v>11</v>
      </c>
      <c r="B5" t="s">
        <v>60</v>
      </c>
      <c r="C5" s="3">
        <v>1560000</v>
      </c>
      <c r="D5">
        <v>15</v>
      </c>
      <c r="E5" s="9">
        <v>1090.4494219653179</v>
      </c>
      <c r="F5" s="11"/>
    </row>
    <row r="6" spans="1:6">
      <c r="A6" s="8" t="s">
        <v>12</v>
      </c>
      <c r="B6" t="s">
        <v>60</v>
      </c>
      <c r="C6" s="3">
        <v>310000</v>
      </c>
      <c r="D6">
        <v>110</v>
      </c>
      <c r="E6" s="9">
        <v>1439.2447990849241</v>
      </c>
      <c r="F6" s="11"/>
    </row>
    <row r="7" spans="1:6">
      <c r="A7" t="s">
        <v>13</v>
      </c>
      <c r="B7" t="s">
        <v>60</v>
      </c>
      <c r="C7" s="3">
        <v>210000</v>
      </c>
      <c r="D7">
        <v>90</v>
      </c>
      <c r="E7" s="9">
        <v>1439.2447990849241</v>
      </c>
      <c r="F7" s="11"/>
    </row>
    <row r="8" spans="1:6">
      <c r="A8" t="s">
        <v>152</v>
      </c>
      <c r="B8" t="s">
        <v>59</v>
      </c>
      <c r="C8" s="3">
        <v>240000</v>
      </c>
      <c r="D8">
        <v>25</v>
      </c>
      <c r="E8" s="9">
        <v>785.36627671487452</v>
      </c>
      <c r="F8" s="11"/>
    </row>
    <row r="9" spans="1:6">
      <c r="A9" t="s">
        <v>14</v>
      </c>
      <c r="B9" t="s">
        <v>60</v>
      </c>
      <c r="C9" s="3">
        <v>530000</v>
      </c>
      <c r="D9">
        <v>50</v>
      </c>
      <c r="E9" s="9">
        <v>901.71964832791423</v>
      </c>
      <c r="F9" s="11"/>
    </row>
    <row r="10" spans="1:6">
      <c r="A10" t="s">
        <v>62</v>
      </c>
      <c r="B10" t="s">
        <v>59</v>
      </c>
      <c r="C10" s="3">
        <v>240000</v>
      </c>
      <c r="D10">
        <v>25</v>
      </c>
      <c r="E10" s="9">
        <v>300.50629997069785</v>
      </c>
      <c r="F10" s="11"/>
    </row>
    <row r="11" spans="1:6">
      <c r="A11" t="s">
        <v>63</v>
      </c>
      <c r="B11" t="s">
        <v>60</v>
      </c>
      <c r="C11" s="3">
        <v>3560000</v>
      </c>
      <c r="D11">
        <v>100</v>
      </c>
      <c r="E11" s="9">
        <v>300.50629997069785</v>
      </c>
      <c r="F11" s="11"/>
    </row>
    <row r="12" spans="1:6">
      <c r="A12" t="s">
        <v>132</v>
      </c>
      <c r="B12" t="s">
        <v>60</v>
      </c>
      <c r="C12" s="3">
        <v>450000</v>
      </c>
      <c r="D12">
        <v>4</v>
      </c>
      <c r="E12" s="9">
        <v>1449.6480971366436</v>
      </c>
      <c r="F12" s="11"/>
    </row>
    <row r="13" spans="1:6">
      <c r="A13" t="s">
        <v>130</v>
      </c>
      <c r="B13" t="s">
        <v>60</v>
      </c>
      <c r="C13" s="3">
        <v>1750000</v>
      </c>
      <c r="D13">
        <v>13</v>
      </c>
      <c r="E13" s="9">
        <v>777.43171573243535</v>
      </c>
      <c r="F13" s="11"/>
    </row>
    <row r="14" spans="1:6">
      <c r="A14" t="s">
        <v>76</v>
      </c>
      <c r="B14" t="s">
        <v>60</v>
      </c>
      <c r="C14" s="3">
        <v>450000</v>
      </c>
      <c r="D14">
        <v>50</v>
      </c>
      <c r="E14" s="9">
        <v>777.43171573243535</v>
      </c>
      <c r="F14" s="11"/>
    </row>
    <row r="15" spans="1:6">
      <c r="A15" t="s">
        <v>110</v>
      </c>
      <c r="B15" t="s">
        <v>59</v>
      </c>
      <c r="C15" s="3">
        <v>240000</v>
      </c>
      <c r="D15">
        <v>25</v>
      </c>
      <c r="E15" s="9">
        <v>492.2118584485678</v>
      </c>
      <c r="F15" s="11"/>
    </row>
    <row r="16" spans="1:6">
      <c r="A16" t="s">
        <v>22</v>
      </c>
      <c r="B16" t="s">
        <v>60</v>
      </c>
      <c r="C16" s="3">
        <v>220000</v>
      </c>
      <c r="D16">
        <v>140</v>
      </c>
      <c r="E16" s="9">
        <v>1439.2447990849241</v>
      </c>
      <c r="F16" s="11"/>
    </row>
    <row r="17" spans="1:6">
      <c r="A17" t="s">
        <v>133</v>
      </c>
      <c r="B17" t="s">
        <v>60</v>
      </c>
      <c r="C17" s="3">
        <v>480000</v>
      </c>
      <c r="D17">
        <v>4</v>
      </c>
      <c r="E17" s="9">
        <v>777.43171573243535</v>
      </c>
      <c r="F17" s="11"/>
    </row>
    <row r="18" spans="1:6">
      <c r="A18" t="s">
        <v>69</v>
      </c>
      <c r="B18" t="s">
        <v>60</v>
      </c>
      <c r="C18" s="3">
        <v>670000</v>
      </c>
      <c r="D18">
        <v>160</v>
      </c>
      <c r="E18" s="9">
        <v>895.56633663366335</v>
      </c>
      <c r="F18" s="11"/>
    </row>
    <row r="19" spans="1:6">
      <c r="A19" t="s">
        <v>83</v>
      </c>
      <c r="B19" t="s">
        <v>60</v>
      </c>
      <c r="C19" s="3">
        <v>3570000</v>
      </c>
      <c r="D19">
        <v>75</v>
      </c>
      <c r="E19" s="9">
        <v>1307.1631185061394</v>
      </c>
      <c r="F19" s="11"/>
    </row>
    <row r="20" spans="1:6">
      <c r="A20" t="s">
        <v>68</v>
      </c>
      <c r="B20" t="s">
        <v>59</v>
      </c>
      <c r="C20" s="3">
        <v>240000</v>
      </c>
      <c r="D20">
        <v>25</v>
      </c>
      <c r="E20" s="9">
        <v>362.85970819304157</v>
      </c>
      <c r="F20" s="11"/>
    </row>
    <row r="21" spans="1:6">
      <c r="A21" t="s">
        <v>71</v>
      </c>
      <c r="B21" t="s">
        <v>60</v>
      </c>
      <c r="C21" s="3">
        <v>170000</v>
      </c>
      <c r="D21">
        <v>80</v>
      </c>
      <c r="E21" s="9">
        <v>2419.7815835726838</v>
      </c>
      <c r="F21" s="11"/>
    </row>
    <row r="22" spans="1:6">
      <c r="A22" t="s">
        <v>28</v>
      </c>
      <c r="B22" t="s">
        <v>60</v>
      </c>
      <c r="C22" s="3">
        <v>170000</v>
      </c>
      <c r="D22">
        <v>30</v>
      </c>
      <c r="E22" s="9">
        <v>1774.4834812623274</v>
      </c>
      <c r="F22" s="11"/>
    </row>
    <row r="23" spans="1:6">
      <c r="A23" t="s">
        <v>29</v>
      </c>
      <c r="B23" t="s">
        <v>60</v>
      </c>
      <c r="C23" s="3">
        <v>3340000</v>
      </c>
      <c r="D23">
        <v>122</v>
      </c>
      <c r="E23" s="9">
        <v>305.16649171987109</v>
      </c>
      <c r="F23" s="11"/>
    </row>
    <row r="24" spans="1:6">
      <c r="A24" t="s">
        <v>117</v>
      </c>
      <c r="B24" t="s">
        <v>60</v>
      </c>
      <c r="C24" s="3">
        <v>190000</v>
      </c>
      <c r="D24">
        <v>9</v>
      </c>
      <c r="E24" s="9">
        <v>1439.2447990849241</v>
      </c>
      <c r="F24" s="11"/>
    </row>
    <row r="25" spans="1:6">
      <c r="E25" s="9"/>
      <c r="F25" s="11"/>
    </row>
    <row r="26" spans="1:6">
      <c r="E26" s="9"/>
      <c r="F26" s="11"/>
    </row>
    <row r="27" spans="1:6">
      <c r="E27" s="9"/>
      <c r="F27" s="11"/>
    </row>
    <row r="29" spans="1:6">
      <c r="C29" s="3"/>
      <c r="D29" s="3"/>
    </row>
  </sheetData>
  <sortState xmlns:xlrd2="http://schemas.microsoft.com/office/spreadsheetml/2017/richdata2" ref="A2:E27">
    <sortCondition ref="A2:A2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F9ECF-ADD5-4449-B545-7EA61903A754}">
  <dimension ref="A1:M32"/>
  <sheetViews>
    <sheetView zoomScale="60" zoomScaleNormal="70" workbookViewId="0">
      <selection activeCell="A22" sqref="A22"/>
    </sheetView>
  </sheetViews>
  <sheetFormatPr defaultRowHeight="14.4"/>
  <cols>
    <col min="1" max="1" width="17.7890625" customWidth="1"/>
  </cols>
  <sheetData>
    <row r="1" spans="1:13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</row>
    <row r="2" spans="1:13">
      <c r="A2" t="s">
        <v>92</v>
      </c>
      <c r="B2">
        <v>1</v>
      </c>
      <c r="C2">
        <v>1</v>
      </c>
      <c r="D2">
        <v>1</v>
      </c>
      <c r="E2">
        <v>1</v>
      </c>
      <c r="F2">
        <v>1.2</v>
      </c>
      <c r="G2">
        <v>1.2</v>
      </c>
      <c r="H2">
        <v>1.2</v>
      </c>
      <c r="I2">
        <v>1.2</v>
      </c>
      <c r="J2">
        <v>1.2</v>
      </c>
      <c r="K2">
        <v>1.2</v>
      </c>
      <c r="L2">
        <v>1.2</v>
      </c>
      <c r="M2">
        <v>1</v>
      </c>
    </row>
    <row r="3" spans="1:13">
      <c r="A3" t="s">
        <v>9</v>
      </c>
      <c r="B3">
        <v>0.8</v>
      </c>
      <c r="C3">
        <v>0.8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</row>
    <row r="4" spans="1:13">
      <c r="A4" t="s">
        <v>10</v>
      </c>
      <c r="B4">
        <v>1</v>
      </c>
      <c r="C4">
        <v>0.8</v>
      </c>
      <c r="D4">
        <v>1</v>
      </c>
      <c r="E4">
        <v>1</v>
      </c>
      <c r="F4">
        <v>1</v>
      </c>
      <c r="G4">
        <v>0.75</v>
      </c>
      <c r="H4">
        <v>0.75</v>
      </c>
      <c r="I4">
        <v>0.8</v>
      </c>
      <c r="J4">
        <v>1</v>
      </c>
      <c r="K4">
        <v>1</v>
      </c>
      <c r="L4">
        <v>0.75</v>
      </c>
      <c r="M4">
        <v>0</v>
      </c>
    </row>
    <row r="5" spans="1:13">
      <c r="A5" t="s">
        <v>11</v>
      </c>
      <c r="B5">
        <v>0</v>
      </c>
      <c r="C5">
        <v>0.9</v>
      </c>
      <c r="D5">
        <v>0.9</v>
      </c>
      <c r="E5">
        <v>0.9</v>
      </c>
      <c r="F5">
        <v>0.95</v>
      </c>
      <c r="G5">
        <v>0.95</v>
      </c>
      <c r="H5">
        <v>0.95</v>
      </c>
      <c r="I5">
        <v>0.95</v>
      </c>
      <c r="J5">
        <v>0.95</v>
      </c>
      <c r="K5">
        <v>0.95</v>
      </c>
      <c r="L5">
        <v>0</v>
      </c>
      <c r="M5">
        <v>0</v>
      </c>
    </row>
    <row r="6" spans="1:13">
      <c r="A6" s="8" t="s">
        <v>12</v>
      </c>
      <c r="B6">
        <v>1</v>
      </c>
      <c r="C6">
        <v>1</v>
      </c>
      <c r="D6">
        <v>0.9</v>
      </c>
      <c r="E6">
        <v>1</v>
      </c>
      <c r="F6">
        <v>0.9</v>
      </c>
      <c r="G6">
        <v>0.75</v>
      </c>
      <c r="H6">
        <v>0.75</v>
      </c>
      <c r="I6">
        <v>0</v>
      </c>
      <c r="J6">
        <v>0</v>
      </c>
      <c r="K6">
        <v>0.7</v>
      </c>
      <c r="L6">
        <v>1</v>
      </c>
      <c r="M6">
        <v>1</v>
      </c>
    </row>
    <row r="7" spans="1:13">
      <c r="A7" t="s">
        <v>13</v>
      </c>
      <c r="B7">
        <v>1.05</v>
      </c>
      <c r="C7">
        <v>1.05</v>
      </c>
      <c r="D7">
        <v>1.05</v>
      </c>
      <c r="E7">
        <v>1.05</v>
      </c>
      <c r="F7">
        <v>0.9</v>
      </c>
      <c r="G7">
        <v>0</v>
      </c>
      <c r="H7">
        <v>0</v>
      </c>
      <c r="I7">
        <v>0</v>
      </c>
      <c r="J7">
        <v>0</v>
      </c>
      <c r="K7">
        <v>0.6</v>
      </c>
      <c r="L7">
        <v>1.05</v>
      </c>
      <c r="M7">
        <v>1.05</v>
      </c>
    </row>
    <row r="8" spans="1:13">
      <c r="A8" t="s">
        <v>152</v>
      </c>
      <c r="B8">
        <v>0.95</v>
      </c>
      <c r="C8">
        <v>0.95</v>
      </c>
      <c r="D8">
        <v>0.95</v>
      </c>
      <c r="E8">
        <v>0.95</v>
      </c>
      <c r="F8">
        <v>0.95</v>
      </c>
      <c r="G8">
        <v>0.9</v>
      </c>
      <c r="H8">
        <v>0</v>
      </c>
      <c r="I8">
        <v>0</v>
      </c>
      <c r="J8">
        <v>0.4</v>
      </c>
      <c r="K8">
        <v>0.4</v>
      </c>
      <c r="L8">
        <v>0.4</v>
      </c>
      <c r="M8">
        <v>0.95</v>
      </c>
    </row>
    <row r="9" spans="1:13">
      <c r="A9" t="s">
        <v>14</v>
      </c>
      <c r="B9">
        <v>0</v>
      </c>
      <c r="C9">
        <v>0</v>
      </c>
      <c r="D9">
        <v>0.3</v>
      </c>
      <c r="E9">
        <v>0.85</v>
      </c>
      <c r="F9">
        <v>0.85</v>
      </c>
      <c r="G9">
        <v>0.85</v>
      </c>
      <c r="H9">
        <v>0.85</v>
      </c>
      <c r="I9">
        <v>0.85</v>
      </c>
      <c r="J9">
        <v>0.45</v>
      </c>
      <c r="K9">
        <v>0.45</v>
      </c>
      <c r="L9">
        <v>0</v>
      </c>
      <c r="M9">
        <v>0</v>
      </c>
    </row>
    <row r="10" spans="1:13">
      <c r="A10" t="s">
        <v>62</v>
      </c>
      <c r="B10">
        <v>1.1499999999999999</v>
      </c>
      <c r="C10">
        <v>1.1499999999999999</v>
      </c>
      <c r="D10">
        <v>1.1499999999999999</v>
      </c>
      <c r="E10">
        <v>1.1499999999999999</v>
      </c>
      <c r="F10">
        <v>1.1499999999999999</v>
      </c>
      <c r="G10">
        <v>0.5</v>
      </c>
      <c r="H10">
        <v>0</v>
      </c>
      <c r="I10">
        <v>0</v>
      </c>
      <c r="J10">
        <v>0</v>
      </c>
      <c r="K10">
        <v>0</v>
      </c>
      <c r="L10">
        <v>0</v>
      </c>
      <c r="M10">
        <v>0.7</v>
      </c>
    </row>
    <row r="11" spans="1:13">
      <c r="A11" t="s">
        <v>63</v>
      </c>
      <c r="B11">
        <v>1.1499999999999999</v>
      </c>
      <c r="C11">
        <v>1.1499999999999999</v>
      </c>
      <c r="D11">
        <v>1.1499999999999999</v>
      </c>
      <c r="E11">
        <v>1.1499999999999999</v>
      </c>
      <c r="F11">
        <v>1.1499999999999999</v>
      </c>
      <c r="G11">
        <v>0.5</v>
      </c>
      <c r="H11">
        <v>0</v>
      </c>
      <c r="I11">
        <v>0</v>
      </c>
      <c r="J11">
        <v>0</v>
      </c>
      <c r="K11">
        <v>0</v>
      </c>
      <c r="L11">
        <v>0</v>
      </c>
      <c r="M11">
        <v>0.7</v>
      </c>
    </row>
    <row r="12" spans="1:13">
      <c r="A12" t="s">
        <v>132</v>
      </c>
      <c r="B12">
        <v>0.8</v>
      </c>
      <c r="C12">
        <v>0.8</v>
      </c>
      <c r="D12">
        <v>1.2</v>
      </c>
      <c r="E12">
        <v>1.2</v>
      </c>
      <c r="F12">
        <v>1.2</v>
      </c>
      <c r="G12">
        <v>1.2</v>
      </c>
      <c r="H12">
        <v>1.2</v>
      </c>
      <c r="I12">
        <v>1.2</v>
      </c>
      <c r="J12">
        <v>1.2</v>
      </c>
      <c r="K12">
        <v>0.85</v>
      </c>
      <c r="L12">
        <v>0.85</v>
      </c>
      <c r="M12">
        <v>0.85</v>
      </c>
    </row>
    <row r="13" spans="1:13">
      <c r="A13" t="s">
        <v>130</v>
      </c>
      <c r="B13">
        <v>0</v>
      </c>
      <c r="C13">
        <v>0</v>
      </c>
      <c r="D13">
        <v>0.65</v>
      </c>
      <c r="E13">
        <v>0.7</v>
      </c>
      <c r="F13">
        <v>0.7</v>
      </c>
      <c r="G13">
        <v>0.7</v>
      </c>
      <c r="H13">
        <v>0.7</v>
      </c>
      <c r="I13">
        <v>0.7</v>
      </c>
      <c r="J13">
        <v>0.7</v>
      </c>
      <c r="K13">
        <v>0.7</v>
      </c>
      <c r="L13">
        <v>0.7</v>
      </c>
      <c r="M13">
        <v>0</v>
      </c>
    </row>
    <row r="14" spans="1:13">
      <c r="A14" t="s">
        <v>76</v>
      </c>
      <c r="B14">
        <v>0.8</v>
      </c>
      <c r="C14">
        <v>0.8</v>
      </c>
      <c r="D14">
        <v>1.2</v>
      </c>
      <c r="E14">
        <v>1.2</v>
      </c>
      <c r="F14">
        <v>1.2</v>
      </c>
      <c r="G14">
        <v>1.2</v>
      </c>
      <c r="H14">
        <v>1.2</v>
      </c>
      <c r="I14">
        <v>1.2</v>
      </c>
      <c r="J14">
        <v>1.2</v>
      </c>
      <c r="K14">
        <v>0.85</v>
      </c>
      <c r="L14">
        <v>0.85</v>
      </c>
      <c r="M14">
        <v>0.85</v>
      </c>
    </row>
    <row r="15" spans="1:13">
      <c r="A15" t="s">
        <v>110</v>
      </c>
      <c r="B15">
        <v>1.1499999999999999</v>
      </c>
      <c r="C15">
        <v>1.1499999999999999</v>
      </c>
      <c r="D15">
        <v>1.1499999999999999</v>
      </c>
      <c r="E15">
        <v>1.1499999999999999</v>
      </c>
      <c r="F15">
        <v>1.1499999999999999</v>
      </c>
      <c r="G15">
        <v>0.25</v>
      </c>
      <c r="H15">
        <v>0</v>
      </c>
      <c r="I15">
        <v>0</v>
      </c>
      <c r="J15">
        <v>0</v>
      </c>
      <c r="K15">
        <v>0</v>
      </c>
      <c r="L15">
        <v>0.3</v>
      </c>
      <c r="M15">
        <v>1.1499999999999999</v>
      </c>
    </row>
    <row r="16" spans="1:13">
      <c r="A16" t="s">
        <v>22</v>
      </c>
      <c r="B16">
        <v>1.05</v>
      </c>
      <c r="C16">
        <v>1.05</v>
      </c>
      <c r="D16">
        <v>1.05</v>
      </c>
      <c r="E16">
        <v>0.95</v>
      </c>
      <c r="F16">
        <v>0</v>
      </c>
      <c r="G16">
        <v>0</v>
      </c>
      <c r="H16">
        <v>0</v>
      </c>
      <c r="I16">
        <v>0</v>
      </c>
      <c r="J16">
        <v>0</v>
      </c>
      <c r="K16">
        <v>0.7</v>
      </c>
      <c r="L16">
        <v>0.9</v>
      </c>
      <c r="M16">
        <v>1.05</v>
      </c>
    </row>
    <row r="17" spans="1:13">
      <c r="A17" t="s">
        <v>133</v>
      </c>
      <c r="B17">
        <v>0.8</v>
      </c>
      <c r="C17">
        <v>0.8</v>
      </c>
      <c r="D17">
        <v>1.2</v>
      </c>
      <c r="E17">
        <v>1.2</v>
      </c>
      <c r="F17">
        <v>1.2</v>
      </c>
      <c r="G17">
        <v>1.2</v>
      </c>
      <c r="H17">
        <v>1.2</v>
      </c>
      <c r="I17">
        <v>1.2</v>
      </c>
      <c r="J17">
        <v>1.2</v>
      </c>
      <c r="K17">
        <v>0.85</v>
      </c>
      <c r="L17">
        <v>0.85</v>
      </c>
      <c r="M17">
        <v>0.85</v>
      </c>
    </row>
    <row r="18" spans="1:13">
      <c r="A18" t="s">
        <v>69</v>
      </c>
      <c r="B18">
        <v>1.1499999999999999</v>
      </c>
      <c r="C18">
        <v>1.1499999999999999</v>
      </c>
      <c r="D18">
        <v>1.1499999999999999</v>
      </c>
      <c r="E18">
        <v>1.1499999999999999</v>
      </c>
      <c r="F18">
        <v>0.75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0.5</v>
      </c>
    </row>
    <row r="19" spans="1:13">
      <c r="A19" t="s">
        <v>83</v>
      </c>
      <c r="B19">
        <v>0</v>
      </c>
      <c r="C19">
        <v>0</v>
      </c>
      <c r="D19">
        <v>0</v>
      </c>
      <c r="E19">
        <v>0</v>
      </c>
      <c r="F19">
        <v>1.05</v>
      </c>
      <c r="G19">
        <v>1.2</v>
      </c>
      <c r="H19">
        <v>1.2</v>
      </c>
      <c r="I19">
        <v>1.2</v>
      </c>
      <c r="J19">
        <v>0.75</v>
      </c>
      <c r="K19">
        <v>0</v>
      </c>
      <c r="L19">
        <v>0</v>
      </c>
      <c r="M19">
        <v>0</v>
      </c>
    </row>
    <row r="20" spans="1:13">
      <c r="A20" t="s">
        <v>68</v>
      </c>
      <c r="B20">
        <v>0.3</v>
      </c>
      <c r="C20">
        <v>0</v>
      </c>
      <c r="D20">
        <v>0.3</v>
      </c>
      <c r="E20">
        <v>1</v>
      </c>
      <c r="F20">
        <v>1</v>
      </c>
      <c r="G20">
        <v>1</v>
      </c>
      <c r="H20">
        <v>0.55000000000000004</v>
      </c>
      <c r="I20">
        <v>0.3</v>
      </c>
      <c r="J20">
        <v>0</v>
      </c>
      <c r="K20">
        <v>0</v>
      </c>
      <c r="L20">
        <v>0</v>
      </c>
      <c r="M20">
        <v>0</v>
      </c>
    </row>
    <row r="21" spans="1:13">
      <c r="A21" t="s">
        <v>71</v>
      </c>
      <c r="B21">
        <v>1.1499999999999999</v>
      </c>
      <c r="C21">
        <v>1.1499999999999999</v>
      </c>
      <c r="D21">
        <v>1.1499999999999999</v>
      </c>
      <c r="E21">
        <v>1.1499999999999999</v>
      </c>
      <c r="F21">
        <v>1</v>
      </c>
      <c r="G21">
        <v>0.8</v>
      </c>
      <c r="H21">
        <v>1</v>
      </c>
      <c r="I21">
        <v>0.8</v>
      </c>
      <c r="J21">
        <v>0</v>
      </c>
      <c r="K21">
        <v>0.6</v>
      </c>
      <c r="L21">
        <v>1.1499999999999999</v>
      </c>
      <c r="M21">
        <v>1.1499999999999999</v>
      </c>
    </row>
    <row r="22" spans="1:13">
      <c r="A22" t="s">
        <v>28</v>
      </c>
      <c r="B22">
        <v>0</v>
      </c>
      <c r="C22">
        <v>0</v>
      </c>
      <c r="D22">
        <v>0.4</v>
      </c>
      <c r="E22">
        <v>1</v>
      </c>
      <c r="F22">
        <v>0.75</v>
      </c>
      <c r="G22">
        <v>0</v>
      </c>
      <c r="H22">
        <v>0</v>
      </c>
      <c r="I22">
        <v>0.4</v>
      </c>
      <c r="J22">
        <v>1</v>
      </c>
      <c r="K22">
        <v>1</v>
      </c>
      <c r="L22">
        <v>1</v>
      </c>
      <c r="M22">
        <v>0.75</v>
      </c>
    </row>
    <row r="23" spans="1:13">
      <c r="A23" t="s">
        <v>29</v>
      </c>
      <c r="B23">
        <v>1.1499999999999999</v>
      </c>
      <c r="C23">
        <v>1.1499999999999999</v>
      </c>
      <c r="D23">
        <v>1.1499999999999999</v>
      </c>
      <c r="E23">
        <v>1.1499999999999999</v>
      </c>
      <c r="F23">
        <v>0.35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0.7</v>
      </c>
    </row>
    <row r="24" spans="1:13">
      <c r="A24" t="s">
        <v>117</v>
      </c>
      <c r="B24">
        <v>0</v>
      </c>
      <c r="C24">
        <v>0</v>
      </c>
      <c r="D24">
        <v>0</v>
      </c>
      <c r="E24">
        <v>0.95</v>
      </c>
      <c r="F24">
        <v>0.95</v>
      </c>
      <c r="G24">
        <v>0.95</v>
      </c>
      <c r="H24">
        <v>0.75</v>
      </c>
      <c r="I24">
        <v>0</v>
      </c>
      <c r="J24">
        <v>0</v>
      </c>
      <c r="K24">
        <v>0</v>
      </c>
      <c r="L24">
        <v>0</v>
      </c>
      <c r="M24">
        <v>0</v>
      </c>
    </row>
    <row r="32" spans="1:13">
      <c r="A32" s="1"/>
    </row>
  </sheetData>
  <conditionalFormatting sqref="B8:F8 H8:M8">
    <cfRule type="aboveAverage" dxfId="75" priority="85"/>
    <cfRule type="aboveAverage" dxfId="74" priority="84"/>
  </conditionalFormatting>
  <conditionalFormatting sqref="B15:F15 H15:M15">
    <cfRule type="aboveAverage" dxfId="73" priority="55"/>
    <cfRule type="aboveAverage" dxfId="72" priority="54"/>
  </conditionalFormatting>
  <conditionalFormatting sqref="B18:L18">
    <cfRule type="aboveAverage" dxfId="71" priority="12"/>
    <cfRule type="aboveAverage" dxfId="70" priority="13"/>
    <cfRule type="cellIs" dxfId="69" priority="14" operator="equal">
      <formula>0</formula>
    </cfRule>
    <cfRule type="cellIs" dxfId="68" priority="15" operator="greaterThan">
      <formula>0</formula>
    </cfRule>
  </conditionalFormatting>
  <conditionalFormatting sqref="B2:M2">
    <cfRule type="cellIs" dxfId="67" priority="10" operator="greaterThan">
      <formula>0</formula>
    </cfRule>
    <cfRule type="aboveAverage" dxfId="66" priority="7"/>
    <cfRule type="aboveAverage" dxfId="65" priority="8"/>
    <cfRule type="cellIs" dxfId="64" priority="9" operator="equal">
      <formula>0</formula>
    </cfRule>
  </conditionalFormatting>
  <conditionalFormatting sqref="B2:M7">
    <cfRule type="cellIs" dxfId="63" priority="6" operator="greaterThan">
      <formula>0.01</formula>
    </cfRule>
  </conditionalFormatting>
  <conditionalFormatting sqref="B3:M5">
    <cfRule type="cellIs" dxfId="62" priority="70" operator="greaterThan">
      <formula>0</formula>
    </cfRule>
    <cfRule type="cellIs" dxfId="61" priority="69" operator="equal">
      <formula>0</formula>
    </cfRule>
    <cfRule type="aboveAverage" dxfId="60" priority="68"/>
    <cfRule type="aboveAverage" dxfId="59" priority="67"/>
  </conditionalFormatting>
  <conditionalFormatting sqref="B6:M7">
    <cfRule type="aboveAverage" dxfId="58" priority="78"/>
    <cfRule type="aboveAverage" dxfId="57" priority="77"/>
  </conditionalFormatting>
  <conditionalFormatting sqref="B6:M8">
    <cfRule type="cellIs" dxfId="56" priority="79" operator="equal">
      <formula>0</formula>
    </cfRule>
    <cfRule type="cellIs" dxfId="55" priority="80" operator="greaterThan">
      <formula>0</formula>
    </cfRule>
  </conditionalFormatting>
  <conditionalFormatting sqref="B8:M8">
    <cfRule type="cellIs" dxfId="54" priority="83" operator="greaterThan">
      <formula>0.01</formula>
    </cfRule>
  </conditionalFormatting>
  <conditionalFormatting sqref="B9:M9">
    <cfRule type="cellIs" dxfId="53" priority="75" operator="greaterThan">
      <formula>0</formula>
    </cfRule>
    <cfRule type="cellIs" dxfId="52" priority="74" operator="equal">
      <formula>0</formula>
    </cfRule>
    <cfRule type="aboveAverage" dxfId="51" priority="73"/>
    <cfRule type="aboveAverage" dxfId="50" priority="72"/>
  </conditionalFormatting>
  <conditionalFormatting sqref="B9:M13">
    <cfRule type="cellIs" dxfId="49" priority="16" operator="greaterThan">
      <formula>0.01</formula>
    </cfRule>
  </conditionalFormatting>
  <conditionalFormatting sqref="B10:M11">
    <cfRule type="cellIs" dxfId="48" priority="65" operator="greaterThan">
      <formula>0</formula>
    </cfRule>
    <cfRule type="aboveAverage" dxfId="47" priority="62"/>
    <cfRule type="aboveAverage" dxfId="46" priority="63"/>
    <cfRule type="cellIs" dxfId="45" priority="64" operator="equal">
      <formula>0</formula>
    </cfRule>
  </conditionalFormatting>
  <conditionalFormatting sqref="B12:M12">
    <cfRule type="aboveAverage" dxfId="44" priority="27"/>
    <cfRule type="aboveAverage" dxfId="43" priority="28"/>
    <cfRule type="cellIs" dxfId="42" priority="29" operator="equal">
      <formula>0</formula>
    </cfRule>
    <cfRule type="cellIs" dxfId="41" priority="30" operator="greaterThan">
      <formula>0</formula>
    </cfRule>
  </conditionalFormatting>
  <conditionalFormatting sqref="B13:M13">
    <cfRule type="aboveAverage" dxfId="40" priority="17"/>
    <cfRule type="cellIs" dxfId="39" priority="19" operator="equal">
      <formula>0</formula>
    </cfRule>
    <cfRule type="cellIs" dxfId="38" priority="20" operator="greaterThan">
      <formula>0</formula>
    </cfRule>
    <cfRule type="aboveAverage" dxfId="37" priority="18"/>
  </conditionalFormatting>
  <conditionalFormatting sqref="B14:M14">
    <cfRule type="aboveAverage" dxfId="36" priority="57"/>
    <cfRule type="aboveAverage" dxfId="35" priority="58"/>
    <cfRule type="cellIs" dxfId="34" priority="59" operator="equal">
      <formula>0</formula>
    </cfRule>
    <cfRule type="cellIs" dxfId="33" priority="60" operator="greaterThan">
      <formula>0</formula>
    </cfRule>
  </conditionalFormatting>
  <conditionalFormatting sqref="B14:M15">
    <cfRule type="cellIs" dxfId="32" priority="53" operator="greaterThan">
      <formula>0.01</formula>
    </cfRule>
  </conditionalFormatting>
  <conditionalFormatting sqref="B15:M16">
    <cfRule type="cellIs" dxfId="31" priority="49" operator="equal">
      <formula>0</formula>
    </cfRule>
    <cfRule type="cellIs" dxfId="30" priority="50" operator="greaterThan">
      <formula>0</formula>
    </cfRule>
  </conditionalFormatting>
  <conditionalFormatting sqref="B16:M16">
    <cfRule type="aboveAverage" dxfId="29" priority="47"/>
    <cfRule type="aboveAverage" dxfId="28" priority="48"/>
  </conditionalFormatting>
  <conditionalFormatting sqref="B16:M24">
    <cfRule type="cellIs" dxfId="27" priority="1" operator="greaterThan">
      <formula>0.01</formula>
    </cfRule>
  </conditionalFormatting>
  <conditionalFormatting sqref="B17:M17">
    <cfRule type="cellIs" dxfId="26" priority="25" operator="greaterThan">
      <formula>0</formula>
    </cfRule>
    <cfRule type="cellIs" dxfId="25" priority="24" operator="equal">
      <formula>0</formula>
    </cfRule>
    <cfRule type="aboveAverage" dxfId="24" priority="23"/>
    <cfRule type="aboveAverage" dxfId="23" priority="22"/>
  </conditionalFormatting>
  <conditionalFormatting sqref="B19:M19">
    <cfRule type="cellIs" dxfId="22" priority="5" operator="greaterThan">
      <formula>0</formula>
    </cfRule>
    <cfRule type="cellIs" dxfId="21" priority="4" operator="equal">
      <formula>0</formula>
    </cfRule>
    <cfRule type="aboveAverage" dxfId="20" priority="3"/>
    <cfRule type="aboveAverage" dxfId="19" priority="2"/>
  </conditionalFormatting>
  <conditionalFormatting sqref="B20:M20">
    <cfRule type="cellIs" dxfId="18" priority="40" operator="greaterThan">
      <formula>0</formula>
    </cfRule>
    <cfRule type="cellIs" dxfId="17" priority="39" operator="equal">
      <formula>0</formula>
    </cfRule>
    <cfRule type="aboveAverage" dxfId="16" priority="38"/>
    <cfRule type="aboveAverage" dxfId="15" priority="37"/>
  </conditionalFormatting>
  <conditionalFormatting sqref="B21:M24">
    <cfRule type="cellIs" dxfId="14" priority="35" operator="greaterThan">
      <formula>0</formula>
    </cfRule>
    <cfRule type="cellIs" dxfId="13" priority="34" operator="equal">
      <formula>0</formula>
    </cfRule>
    <cfRule type="aboveAverage" dxfId="12" priority="33"/>
    <cfRule type="aboveAverage" dxfId="11" priority="32"/>
  </conditionalFormatting>
  <conditionalFormatting sqref="M18">
    <cfRule type="aboveAverage" dxfId="10" priority="42"/>
    <cfRule type="aboveAverage" dxfId="9" priority="43"/>
    <cfRule type="cellIs" dxfId="8" priority="44" operator="equal">
      <formula>0</formula>
    </cfRule>
    <cfRule type="cellIs" dxfId="7" priority="45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4D1D5-81BF-407D-A514-96FEAC3ECA49}">
  <dimension ref="A1:O93"/>
  <sheetViews>
    <sheetView zoomScale="80" zoomScaleNormal="80" workbookViewId="0">
      <pane xSplit="2" ySplit="1" topLeftCell="C67" activePane="bottomRight" state="frozen"/>
      <selection pane="topRight" activeCell="C1" sqref="C1"/>
      <selection pane="bottomLeft" activeCell="A2" sqref="A2"/>
      <selection pane="bottomRight" activeCell="A83" sqref="A83:A85"/>
    </sheetView>
  </sheetViews>
  <sheetFormatPr defaultRowHeight="14.4"/>
  <cols>
    <col min="1" max="1" width="32.734375" customWidth="1"/>
    <col min="3" max="3" width="11.62890625" customWidth="1"/>
  </cols>
  <sheetData>
    <row r="1" spans="1:15" ht="14.7" thickBot="1">
      <c r="A1" t="s">
        <v>0</v>
      </c>
      <c r="B1" t="s">
        <v>47</v>
      </c>
      <c r="C1" t="s">
        <v>48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36</v>
      </c>
      <c r="I1" s="7" t="s">
        <v>37</v>
      </c>
      <c r="J1" s="7" t="s">
        <v>38</v>
      </c>
      <c r="K1" s="7" t="s">
        <v>39</v>
      </c>
      <c r="L1" s="7" t="s">
        <v>40</v>
      </c>
      <c r="M1" s="7" t="s">
        <v>41</v>
      </c>
      <c r="N1" s="7" t="s">
        <v>42</v>
      </c>
      <c r="O1" s="7" t="s">
        <v>43</v>
      </c>
    </row>
    <row r="2" spans="1:15">
      <c r="A2" t="s">
        <v>92</v>
      </c>
      <c r="B2" t="s">
        <v>2</v>
      </c>
      <c r="C2" s="34">
        <v>0.8</v>
      </c>
      <c r="D2" s="6">
        <v>1</v>
      </c>
      <c r="E2" s="6">
        <v>1</v>
      </c>
      <c r="F2" s="6">
        <v>1</v>
      </c>
      <c r="G2" s="6">
        <v>1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</row>
    <row r="3" spans="1:15">
      <c r="A3" t="s">
        <v>92</v>
      </c>
      <c r="B3" t="s">
        <v>3</v>
      </c>
      <c r="C3" s="6">
        <v>1</v>
      </c>
      <c r="D3" s="6">
        <v>0</v>
      </c>
      <c r="E3" s="6">
        <v>0</v>
      </c>
      <c r="F3" s="6">
        <v>0</v>
      </c>
      <c r="G3" s="6">
        <v>0</v>
      </c>
      <c r="H3" s="6">
        <v>1</v>
      </c>
      <c r="I3" s="6">
        <v>1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</row>
    <row r="4" spans="1:15">
      <c r="A4" t="s">
        <v>92</v>
      </c>
      <c r="B4" t="s">
        <v>4</v>
      </c>
      <c r="C4" s="6">
        <v>1.1000000000000001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1</v>
      </c>
      <c r="K4" s="6">
        <v>1</v>
      </c>
      <c r="L4" s="6">
        <v>1</v>
      </c>
      <c r="M4" s="6">
        <v>1</v>
      </c>
      <c r="N4" s="6">
        <v>1</v>
      </c>
      <c r="O4" s="6">
        <v>0.5</v>
      </c>
    </row>
    <row r="5" spans="1:15">
      <c r="A5" t="s">
        <v>92</v>
      </c>
      <c r="B5" t="s">
        <v>5</v>
      </c>
      <c r="C5" s="6">
        <v>0.9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0.5</v>
      </c>
    </row>
    <row r="6" spans="1:15">
      <c r="A6" s="8" t="s">
        <v>9</v>
      </c>
      <c r="B6" t="s">
        <v>2</v>
      </c>
      <c r="C6">
        <v>0.95</v>
      </c>
      <c r="D6" s="6">
        <v>0</v>
      </c>
      <c r="E6" s="6">
        <v>0</v>
      </c>
      <c r="F6" s="6">
        <v>1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</row>
    <row r="7" spans="1:15">
      <c r="A7" s="8" t="s">
        <v>9</v>
      </c>
      <c r="B7" t="s">
        <v>3</v>
      </c>
      <c r="C7">
        <v>1.05</v>
      </c>
      <c r="D7" s="6">
        <v>0</v>
      </c>
      <c r="E7" s="6">
        <v>0</v>
      </c>
      <c r="F7" s="6">
        <v>0</v>
      </c>
      <c r="G7" s="6">
        <v>1</v>
      </c>
      <c r="H7" s="6">
        <v>0.7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</row>
    <row r="8" spans="1:15">
      <c r="A8" s="8" t="s">
        <v>9</v>
      </c>
      <c r="B8" t="s">
        <v>4</v>
      </c>
      <c r="C8">
        <v>1.1000000000000001</v>
      </c>
      <c r="D8" s="6">
        <v>0</v>
      </c>
      <c r="E8" s="6">
        <v>0</v>
      </c>
      <c r="F8" s="6">
        <v>0</v>
      </c>
      <c r="G8" s="6">
        <v>0</v>
      </c>
      <c r="H8" s="6">
        <v>0.3</v>
      </c>
      <c r="I8" s="6">
        <v>1</v>
      </c>
      <c r="J8" s="6">
        <v>1</v>
      </c>
      <c r="K8" s="6">
        <v>1</v>
      </c>
      <c r="L8" s="6">
        <v>1</v>
      </c>
      <c r="M8" s="6">
        <v>0</v>
      </c>
      <c r="N8" s="6">
        <v>0</v>
      </c>
      <c r="O8" s="6">
        <v>0</v>
      </c>
    </row>
    <row r="9" spans="1:15">
      <c r="A9" s="8" t="s">
        <v>9</v>
      </c>
      <c r="B9" t="s">
        <v>5</v>
      </c>
      <c r="C9">
        <v>1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1</v>
      </c>
      <c r="N9" s="6">
        <v>0</v>
      </c>
      <c r="O9" s="6">
        <v>0</v>
      </c>
    </row>
    <row r="10" spans="1:15">
      <c r="A10" t="s">
        <v>10</v>
      </c>
      <c r="B10" t="s">
        <v>2</v>
      </c>
      <c r="C10">
        <v>0.65</v>
      </c>
      <c r="D10" s="6">
        <v>0</v>
      </c>
      <c r="E10" s="6">
        <v>1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1</v>
      </c>
      <c r="O10" s="6">
        <v>0</v>
      </c>
    </row>
    <row r="11" spans="1:15">
      <c r="A11" t="s">
        <v>10</v>
      </c>
      <c r="B11" t="s">
        <v>3</v>
      </c>
      <c r="C11">
        <v>1</v>
      </c>
      <c r="D11" s="6">
        <v>0</v>
      </c>
      <c r="E11" s="6">
        <v>0</v>
      </c>
      <c r="F11" s="6">
        <v>1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1</v>
      </c>
    </row>
    <row r="12" spans="1:15">
      <c r="A12" t="s">
        <v>10</v>
      </c>
      <c r="B12" t="s">
        <v>4</v>
      </c>
      <c r="C12">
        <v>1</v>
      </c>
      <c r="D12" s="6">
        <v>1</v>
      </c>
      <c r="E12" s="6">
        <v>0.7</v>
      </c>
      <c r="F12" s="6">
        <v>0</v>
      </c>
      <c r="G12" s="6">
        <v>1</v>
      </c>
      <c r="H12" s="6">
        <v>0.7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</row>
    <row r="13" spans="1:15">
      <c r="A13" t="s">
        <v>10</v>
      </c>
      <c r="B13" t="s">
        <v>5</v>
      </c>
      <c r="C13">
        <v>0.60000000000000009</v>
      </c>
      <c r="D13" s="6">
        <v>0</v>
      </c>
      <c r="E13" s="6">
        <v>0.3</v>
      </c>
      <c r="F13" s="6">
        <v>0</v>
      </c>
      <c r="G13" s="6">
        <v>0</v>
      </c>
      <c r="H13" s="6">
        <v>0.3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</row>
    <row r="14" spans="1:15">
      <c r="A14" s="8" t="s">
        <v>11</v>
      </c>
      <c r="B14" t="s">
        <v>2</v>
      </c>
      <c r="C14">
        <v>1</v>
      </c>
      <c r="D14" s="6">
        <v>0</v>
      </c>
      <c r="E14" s="6">
        <v>1</v>
      </c>
      <c r="F14" s="6">
        <v>1</v>
      </c>
      <c r="G14" s="6">
        <v>0.5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</row>
    <row r="15" spans="1:15">
      <c r="A15" s="8" t="s">
        <v>11</v>
      </c>
      <c r="B15" t="s">
        <v>3</v>
      </c>
      <c r="C15">
        <v>1.2</v>
      </c>
      <c r="D15" s="6">
        <v>0</v>
      </c>
      <c r="E15" s="6">
        <v>0</v>
      </c>
      <c r="F15" s="6">
        <v>0</v>
      </c>
      <c r="G15" s="6">
        <v>0.5</v>
      </c>
      <c r="H15" s="6">
        <v>1</v>
      </c>
      <c r="I15" s="6">
        <v>0.5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</row>
    <row r="16" spans="1:15">
      <c r="A16" s="8" t="s">
        <v>11</v>
      </c>
      <c r="B16" t="s">
        <v>4</v>
      </c>
      <c r="C16">
        <v>1.2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0.5</v>
      </c>
      <c r="J16" s="6">
        <v>1</v>
      </c>
      <c r="K16" s="6">
        <v>1</v>
      </c>
      <c r="L16" s="6">
        <v>0.5</v>
      </c>
      <c r="M16" s="6">
        <v>0</v>
      </c>
      <c r="N16" s="6">
        <v>0</v>
      </c>
      <c r="O16" s="6">
        <v>0</v>
      </c>
    </row>
    <row r="17" spans="1:15">
      <c r="A17" s="8" t="s">
        <v>11</v>
      </c>
      <c r="B17" t="s">
        <v>5</v>
      </c>
      <c r="C17">
        <v>1.1000000000000001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0.5</v>
      </c>
      <c r="M17" s="6">
        <v>1</v>
      </c>
      <c r="N17" s="6">
        <v>1</v>
      </c>
      <c r="O17" s="6">
        <v>0</v>
      </c>
    </row>
    <row r="18" spans="1:15">
      <c r="A18" s="8" t="s">
        <v>12</v>
      </c>
      <c r="B18" t="s">
        <v>2</v>
      </c>
      <c r="C18">
        <v>0.45</v>
      </c>
      <c r="D18" s="6">
        <v>0.7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0.7</v>
      </c>
      <c r="N18" s="6">
        <v>0</v>
      </c>
      <c r="O18" s="6">
        <v>0</v>
      </c>
    </row>
    <row r="19" spans="1:15">
      <c r="A19" s="8" t="s">
        <v>12</v>
      </c>
      <c r="B19" t="s">
        <v>3</v>
      </c>
      <c r="C19">
        <v>0.8</v>
      </c>
      <c r="D19" s="6">
        <v>0.3</v>
      </c>
      <c r="E19" s="6">
        <v>0.7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0.3</v>
      </c>
      <c r="N19" s="6">
        <v>0.7</v>
      </c>
      <c r="O19" s="6">
        <v>0</v>
      </c>
    </row>
    <row r="20" spans="1:15">
      <c r="A20" s="8" t="s">
        <v>12</v>
      </c>
      <c r="B20" t="s">
        <v>4</v>
      </c>
      <c r="C20">
        <v>1.1000000000000001</v>
      </c>
      <c r="D20" s="6">
        <v>1</v>
      </c>
      <c r="E20" s="6">
        <v>1</v>
      </c>
      <c r="F20" s="6">
        <v>1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0.3</v>
      </c>
      <c r="O20" s="6">
        <v>1</v>
      </c>
    </row>
    <row r="21" spans="1:15">
      <c r="A21" s="8" t="s">
        <v>12</v>
      </c>
      <c r="B21" t="s">
        <v>5</v>
      </c>
      <c r="C21">
        <v>0.3</v>
      </c>
      <c r="D21" s="6">
        <v>0</v>
      </c>
      <c r="E21" s="6">
        <v>0</v>
      </c>
      <c r="F21" s="6">
        <v>0.7</v>
      </c>
      <c r="G21" s="6">
        <v>1</v>
      </c>
      <c r="H21" s="6">
        <v>1</v>
      </c>
      <c r="I21" s="6">
        <v>1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</row>
    <row r="22" spans="1:15">
      <c r="A22" s="8" t="s">
        <v>13</v>
      </c>
      <c r="B22" t="s">
        <v>2</v>
      </c>
      <c r="C22">
        <v>0.75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1</v>
      </c>
      <c r="N22" s="6">
        <v>0</v>
      </c>
      <c r="O22" s="6">
        <v>0</v>
      </c>
    </row>
    <row r="23" spans="1:15">
      <c r="A23" s="8" t="s">
        <v>13</v>
      </c>
      <c r="B23" t="s">
        <v>3</v>
      </c>
      <c r="C23">
        <v>1.1000000000000001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1</v>
      </c>
      <c r="O23" s="6">
        <v>0.3</v>
      </c>
    </row>
    <row r="24" spans="1:15">
      <c r="A24" s="8" t="s">
        <v>13</v>
      </c>
      <c r="B24" t="s">
        <v>4</v>
      </c>
      <c r="C24">
        <v>0.95000000000000007</v>
      </c>
      <c r="D24" s="6">
        <v>0.7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0.7</v>
      </c>
    </row>
    <row r="25" spans="1:15">
      <c r="A25" s="8" t="s">
        <v>13</v>
      </c>
      <c r="B25" t="s">
        <v>5</v>
      </c>
      <c r="C25">
        <v>0.75</v>
      </c>
      <c r="D25" s="6">
        <v>0.3</v>
      </c>
      <c r="E25" s="6">
        <v>0.3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</row>
    <row r="26" spans="1:15">
      <c r="A26" s="8" t="s">
        <v>152</v>
      </c>
      <c r="B26" t="s">
        <v>2</v>
      </c>
      <c r="C26" s="1">
        <v>0.7</v>
      </c>
      <c r="D26" s="6">
        <v>0.35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0.1</v>
      </c>
      <c r="L26" s="6">
        <v>0</v>
      </c>
      <c r="M26" s="6">
        <v>0</v>
      </c>
      <c r="N26" s="6">
        <v>0</v>
      </c>
      <c r="O26" s="6">
        <v>0</v>
      </c>
    </row>
    <row r="27" spans="1:15">
      <c r="A27" s="8" t="s">
        <v>152</v>
      </c>
      <c r="B27" t="s">
        <v>3</v>
      </c>
      <c r="C27" s="1">
        <v>0.9</v>
      </c>
      <c r="D27" s="6">
        <v>0</v>
      </c>
      <c r="E27" s="6">
        <v>1</v>
      </c>
      <c r="F27" s="6">
        <v>0.9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0.7</v>
      </c>
      <c r="M27" s="6">
        <v>0</v>
      </c>
      <c r="N27" s="6">
        <v>0</v>
      </c>
      <c r="O27" s="6">
        <v>0</v>
      </c>
    </row>
    <row r="28" spans="1:15">
      <c r="A28" s="8" t="s">
        <v>152</v>
      </c>
      <c r="B28" t="s">
        <v>4</v>
      </c>
      <c r="C28" s="1">
        <v>1.1000000000000001</v>
      </c>
      <c r="D28" s="6">
        <v>0</v>
      </c>
      <c r="E28" s="6">
        <v>0</v>
      </c>
      <c r="F28" s="6">
        <v>0.1</v>
      </c>
      <c r="G28" s="6">
        <v>0.25</v>
      </c>
      <c r="H28" s="6">
        <v>0</v>
      </c>
      <c r="I28" s="6">
        <v>0</v>
      </c>
      <c r="J28" s="6">
        <v>0</v>
      </c>
      <c r="K28" s="6">
        <v>0</v>
      </c>
      <c r="L28" s="6">
        <v>0.3</v>
      </c>
      <c r="M28" s="6">
        <v>0</v>
      </c>
      <c r="N28" s="6">
        <v>0</v>
      </c>
      <c r="O28" s="6">
        <v>0</v>
      </c>
    </row>
    <row r="29" spans="1:15">
      <c r="A29" s="8" t="s">
        <v>152</v>
      </c>
      <c r="B29" t="s">
        <v>5</v>
      </c>
      <c r="C29" s="1">
        <v>1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0.3</v>
      </c>
      <c r="N29" s="6">
        <v>0</v>
      </c>
      <c r="O29" s="6">
        <v>0</v>
      </c>
    </row>
    <row r="30" spans="1:15">
      <c r="A30" s="8" t="s">
        <v>14</v>
      </c>
      <c r="B30" t="s">
        <v>2</v>
      </c>
      <c r="C30">
        <v>0.85</v>
      </c>
      <c r="D30" s="6">
        <v>0</v>
      </c>
      <c r="E30" s="6">
        <v>0</v>
      </c>
      <c r="F30" s="6">
        <v>0.7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</row>
    <row r="31" spans="1:15">
      <c r="A31" s="8" t="s">
        <v>14</v>
      </c>
      <c r="B31" t="s">
        <v>3</v>
      </c>
      <c r="C31">
        <v>0.85</v>
      </c>
      <c r="D31" s="6">
        <v>0</v>
      </c>
      <c r="E31" s="6">
        <v>0</v>
      </c>
      <c r="F31" s="6">
        <v>0</v>
      </c>
      <c r="G31" s="6">
        <v>1</v>
      </c>
      <c r="H31" s="6">
        <v>0.7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</row>
    <row r="32" spans="1:15">
      <c r="A32" s="8" t="s">
        <v>14</v>
      </c>
      <c r="B32" t="s">
        <v>4</v>
      </c>
      <c r="C32">
        <v>0.85</v>
      </c>
      <c r="D32" s="6">
        <v>0</v>
      </c>
      <c r="E32" s="6">
        <v>0</v>
      </c>
      <c r="F32" s="6">
        <v>0</v>
      </c>
      <c r="G32" s="6">
        <v>0</v>
      </c>
      <c r="H32" s="6">
        <v>0.3</v>
      </c>
      <c r="I32" s="6">
        <v>1</v>
      </c>
      <c r="J32" s="6">
        <v>1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</row>
    <row r="33" spans="1:15">
      <c r="A33" s="8" t="s">
        <v>14</v>
      </c>
      <c r="B33" t="s">
        <v>5</v>
      </c>
      <c r="C33">
        <v>0.85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1</v>
      </c>
      <c r="L33" s="6">
        <v>1</v>
      </c>
      <c r="M33" s="6">
        <v>0</v>
      </c>
      <c r="N33" s="6">
        <v>0</v>
      </c>
      <c r="O33" s="6">
        <v>0</v>
      </c>
    </row>
    <row r="34" spans="1:15">
      <c r="A34" t="s">
        <v>62</v>
      </c>
      <c r="B34" t="s">
        <v>2</v>
      </c>
      <c r="C34">
        <v>0.4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0.7</v>
      </c>
    </row>
    <row r="35" spans="1:15">
      <c r="A35" t="s">
        <v>62</v>
      </c>
      <c r="B35" t="s">
        <v>3</v>
      </c>
      <c r="C35">
        <v>1.5</v>
      </c>
      <c r="D35" s="6">
        <v>1</v>
      </c>
      <c r="E35" s="6">
        <v>0.3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</row>
    <row r="36" spans="1:15">
      <c r="A36" t="s">
        <v>62</v>
      </c>
      <c r="B36" t="s">
        <v>4</v>
      </c>
      <c r="C36">
        <v>0.5</v>
      </c>
      <c r="D36" s="6">
        <v>0</v>
      </c>
      <c r="E36" s="6">
        <v>0.7</v>
      </c>
      <c r="F36" s="6">
        <v>0.7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</row>
    <row r="37" spans="1:15">
      <c r="A37" t="s">
        <v>62</v>
      </c>
      <c r="B37" t="s">
        <v>5</v>
      </c>
      <c r="C37">
        <v>0.2</v>
      </c>
      <c r="D37" s="6">
        <v>0</v>
      </c>
      <c r="E37" s="6">
        <v>0</v>
      </c>
      <c r="F37" s="6">
        <v>0.3</v>
      </c>
      <c r="G37" s="6">
        <v>0.7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</row>
    <row r="38" spans="1:15">
      <c r="A38" t="s">
        <v>63</v>
      </c>
      <c r="B38" t="s">
        <v>2</v>
      </c>
      <c r="C38">
        <v>0.4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0.7</v>
      </c>
    </row>
    <row r="39" spans="1:15">
      <c r="A39" t="s">
        <v>63</v>
      </c>
      <c r="B39" t="s">
        <v>3</v>
      </c>
      <c r="C39">
        <v>1.5</v>
      </c>
      <c r="D39" s="6">
        <v>1</v>
      </c>
      <c r="E39" s="6">
        <v>0.3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</row>
    <row r="40" spans="1:15">
      <c r="A40" t="s">
        <v>63</v>
      </c>
      <c r="B40" t="s">
        <v>4</v>
      </c>
      <c r="C40">
        <v>0.5</v>
      </c>
      <c r="D40" s="6">
        <v>0</v>
      </c>
      <c r="E40" s="6">
        <v>0.7</v>
      </c>
      <c r="F40" s="6">
        <v>0.7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</row>
    <row r="41" spans="1:15">
      <c r="A41" t="s">
        <v>63</v>
      </c>
      <c r="B41" t="s">
        <v>5</v>
      </c>
      <c r="C41">
        <v>0.2</v>
      </c>
      <c r="D41" s="6">
        <v>0</v>
      </c>
      <c r="E41" s="6">
        <v>0</v>
      </c>
      <c r="F41" s="6">
        <v>0.3</v>
      </c>
      <c r="G41" s="6">
        <v>0.7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</row>
    <row r="42" spans="1:15">
      <c r="A42" t="s">
        <v>132</v>
      </c>
      <c r="B42" t="s">
        <v>2</v>
      </c>
      <c r="C42">
        <v>0.95</v>
      </c>
      <c r="D42" s="6">
        <v>0</v>
      </c>
      <c r="E42" s="6">
        <v>0</v>
      </c>
      <c r="F42" s="6">
        <v>1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</row>
    <row r="43" spans="1:15">
      <c r="A43" t="s">
        <v>132</v>
      </c>
      <c r="B43" t="s">
        <v>3</v>
      </c>
      <c r="C43">
        <v>1.05</v>
      </c>
      <c r="D43" s="6">
        <v>0</v>
      </c>
      <c r="E43" s="6">
        <v>0</v>
      </c>
      <c r="F43" s="6">
        <v>0</v>
      </c>
      <c r="G43" s="6">
        <v>1</v>
      </c>
      <c r="H43" s="6">
        <v>0.7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</row>
    <row r="44" spans="1:15">
      <c r="A44" t="s">
        <v>132</v>
      </c>
      <c r="B44" t="s">
        <v>4</v>
      </c>
      <c r="C44">
        <v>1.1000000000000001</v>
      </c>
      <c r="D44" s="6">
        <v>0</v>
      </c>
      <c r="E44" s="6">
        <v>0</v>
      </c>
      <c r="F44" s="6">
        <v>0</v>
      </c>
      <c r="G44" s="6">
        <v>0</v>
      </c>
      <c r="H44" s="6">
        <v>0.3</v>
      </c>
      <c r="I44" s="6">
        <v>1</v>
      </c>
      <c r="J44" s="6">
        <v>1</v>
      </c>
      <c r="K44" s="6">
        <v>1</v>
      </c>
      <c r="L44" s="6">
        <v>1</v>
      </c>
      <c r="M44" s="6">
        <v>0</v>
      </c>
      <c r="N44" s="6">
        <v>0</v>
      </c>
      <c r="O44" s="6">
        <v>0</v>
      </c>
    </row>
    <row r="45" spans="1:15">
      <c r="A45" t="s">
        <v>132</v>
      </c>
      <c r="B45" t="s">
        <v>5</v>
      </c>
      <c r="C45">
        <v>1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1</v>
      </c>
      <c r="N45" s="6">
        <v>0</v>
      </c>
      <c r="O45" s="6">
        <v>0</v>
      </c>
    </row>
    <row r="46" spans="1:15">
      <c r="A46" s="8" t="s">
        <v>130</v>
      </c>
      <c r="B46" t="s">
        <v>2</v>
      </c>
      <c r="C46">
        <v>0.30000000000000004</v>
      </c>
      <c r="D46" s="6">
        <v>0</v>
      </c>
      <c r="E46" s="6">
        <v>0</v>
      </c>
      <c r="F46" s="6">
        <v>1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</row>
    <row r="47" spans="1:15">
      <c r="A47" s="8" t="s">
        <v>130</v>
      </c>
      <c r="B47" t="s">
        <v>3</v>
      </c>
      <c r="C47">
        <v>1.2</v>
      </c>
      <c r="D47" s="6">
        <v>0</v>
      </c>
      <c r="E47" s="6">
        <v>0</v>
      </c>
      <c r="F47" s="6">
        <v>0</v>
      </c>
      <c r="G47" s="6">
        <v>1</v>
      </c>
      <c r="H47" s="6">
        <v>1</v>
      </c>
      <c r="I47" s="6">
        <v>1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</row>
    <row r="48" spans="1:15">
      <c r="A48" s="8" t="s">
        <v>130</v>
      </c>
      <c r="B48" t="s">
        <v>4</v>
      </c>
      <c r="C48">
        <v>0.5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1</v>
      </c>
      <c r="K48" s="6">
        <v>1</v>
      </c>
      <c r="L48" s="6">
        <v>0</v>
      </c>
      <c r="M48" s="6">
        <v>0</v>
      </c>
      <c r="N48" s="6">
        <v>0</v>
      </c>
      <c r="O48" s="6">
        <v>0</v>
      </c>
    </row>
    <row r="49" spans="1:15">
      <c r="A49" s="8" t="s">
        <v>130</v>
      </c>
      <c r="B49" t="s">
        <v>5</v>
      </c>
      <c r="C49">
        <v>0.2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1</v>
      </c>
      <c r="M49" s="6">
        <v>1</v>
      </c>
      <c r="N49" s="6">
        <v>1</v>
      </c>
      <c r="O49" s="6">
        <v>0</v>
      </c>
    </row>
    <row r="50" spans="1:15">
      <c r="A50" t="s">
        <v>76</v>
      </c>
      <c r="B50" t="s">
        <v>2</v>
      </c>
      <c r="C50">
        <v>0.95</v>
      </c>
      <c r="D50" s="6">
        <v>0</v>
      </c>
      <c r="E50" s="6">
        <v>0</v>
      </c>
      <c r="F50" s="6">
        <v>1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</row>
    <row r="51" spans="1:15">
      <c r="A51" t="s">
        <v>76</v>
      </c>
      <c r="B51" t="s">
        <v>3</v>
      </c>
      <c r="C51">
        <v>1.05</v>
      </c>
      <c r="D51" s="6">
        <v>0</v>
      </c>
      <c r="E51" s="6">
        <v>0</v>
      </c>
      <c r="F51" s="6">
        <v>0</v>
      </c>
      <c r="G51" s="6">
        <v>1</v>
      </c>
      <c r="H51" s="6">
        <v>0.7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</row>
    <row r="52" spans="1:15">
      <c r="A52" t="s">
        <v>76</v>
      </c>
      <c r="B52" t="s">
        <v>4</v>
      </c>
      <c r="C52">
        <v>1.1000000000000001</v>
      </c>
      <c r="D52" s="6">
        <v>0</v>
      </c>
      <c r="E52" s="6">
        <v>0</v>
      </c>
      <c r="F52" s="6">
        <v>0</v>
      </c>
      <c r="G52" s="6">
        <v>0</v>
      </c>
      <c r="H52" s="6">
        <v>0.3</v>
      </c>
      <c r="I52" s="6">
        <v>1</v>
      </c>
      <c r="J52" s="6">
        <v>1</v>
      </c>
      <c r="K52" s="6">
        <v>1</v>
      </c>
      <c r="L52" s="6">
        <v>1</v>
      </c>
      <c r="M52" s="6">
        <v>0</v>
      </c>
      <c r="N52" s="6">
        <v>0</v>
      </c>
      <c r="O52" s="6">
        <v>0</v>
      </c>
    </row>
    <row r="53" spans="1:15">
      <c r="A53" t="s">
        <v>76</v>
      </c>
      <c r="B53" t="s">
        <v>5</v>
      </c>
      <c r="C53">
        <v>1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1</v>
      </c>
      <c r="N53" s="6">
        <v>0</v>
      </c>
      <c r="O53" s="6">
        <v>0</v>
      </c>
    </row>
    <row r="54" spans="1:15">
      <c r="A54" s="8" t="s">
        <v>110</v>
      </c>
      <c r="B54" t="s">
        <v>2</v>
      </c>
      <c r="C54" s="5">
        <v>0.3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0.7</v>
      </c>
    </row>
    <row r="55" spans="1:15">
      <c r="A55" s="8" t="s">
        <v>110</v>
      </c>
      <c r="B55" t="s">
        <v>3</v>
      </c>
      <c r="C55" s="5">
        <v>1</v>
      </c>
      <c r="D55" s="6">
        <v>1</v>
      </c>
      <c r="E55" s="6">
        <v>0.7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</row>
    <row r="56" spans="1:15">
      <c r="A56" s="8" t="s">
        <v>110</v>
      </c>
      <c r="B56" t="s">
        <v>4</v>
      </c>
      <c r="C56" s="5">
        <v>0.7</v>
      </c>
      <c r="D56" s="6">
        <v>0</v>
      </c>
      <c r="E56" s="6">
        <v>0.3</v>
      </c>
      <c r="F56" s="6">
        <v>1</v>
      </c>
      <c r="G56" s="6">
        <v>0.7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</row>
    <row r="57" spans="1:15">
      <c r="A57" s="8" t="s">
        <v>110</v>
      </c>
      <c r="B57" t="s">
        <v>5</v>
      </c>
      <c r="C57" s="5">
        <v>0.3</v>
      </c>
      <c r="D57" s="6">
        <v>0</v>
      </c>
      <c r="E57" s="6">
        <v>0</v>
      </c>
      <c r="F57" s="6">
        <v>0</v>
      </c>
      <c r="G57" s="6">
        <v>0.3</v>
      </c>
      <c r="H57" s="6">
        <v>0.7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</row>
    <row r="58" spans="1:15">
      <c r="A58" s="8" t="s">
        <v>22</v>
      </c>
      <c r="B58" t="s">
        <v>2</v>
      </c>
      <c r="C58">
        <v>0.5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1</v>
      </c>
      <c r="N58" s="6">
        <v>0</v>
      </c>
      <c r="O58" s="6">
        <v>0</v>
      </c>
    </row>
    <row r="59" spans="1:15">
      <c r="A59" s="8" t="s">
        <v>22</v>
      </c>
      <c r="B59" t="s">
        <v>3</v>
      </c>
      <c r="C59">
        <v>1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1</v>
      </c>
      <c r="O59" s="6">
        <v>0.5</v>
      </c>
    </row>
    <row r="60" spans="1:15">
      <c r="A60" s="8" t="s">
        <v>22</v>
      </c>
      <c r="B60" t="s">
        <v>4</v>
      </c>
      <c r="C60">
        <v>0.9</v>
      </c>
      <c r="D60" s="6">
        <v>1</v>
      </c>
      <c r="E60" s="6">
        <v>1</v>
      </c>
      <c r="F60" s="6">
        <v>0.3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</row>
    <row r="61" spans="1:15">
      <c r="A61" s="8" t="s">
        <v>22</v>
      </c>
      <c r="B61" t="s">
        <v>5</v>
      </c>
      <c r="C61">
        <v>0.3</v>
      </c>
      <c r="D61" s="6">
        <v>0</v>
      </c>
      <c r="E61" s="6">
        <v>0</v>
      </c>
      <c r="F61" s="6">
        <v>0.7</v>
      </c>
      <c r="G61" s="6">
        <v>0.3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</row>
    <row r="62" spans="1:15">
      <c r="A62" t="s">
        <v>133</v>
      </c>
      <c r="B62" t="s">
        <v>2</v>
      </c>
      <c r="C62">
        <v>0.95</v>
      </c>
      <c r="D62" s="6">
        <v>0</v>
      </c>
      <c r="E62" s="6">
        <v>0</v>
      </c>
      <c r="F62" s="6">
        <v>1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</row>
    <row r="63" spans="1:15">
      <c r="A63" t="s">
        <v>133</v>
      </c>
      <c r="B63" t="s">
        <v>3</v>
      </c>
      <c r="C63">
        <v>1.05</v>
      </c>
      <c r="D63" s="6">
        <v>0</v>
      </c>
      <c r="E63" s="6">
        <v>0</v>
      </c>
      <c r="F63" s="6">
        <v>0</v>
      </c>
      <c r="G63" s="6">
        <v>1</v>
      </c>
      <c r="H63" s="6">
        <v>0.7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</row>
    <row r="64" spans="1:15">
      <c r="A64" t="s">
        <v>133</v>
      </c>
      <c r="B64" t="s">
        <v>4</v>
      </c>
      <c r="C64">
        <v>1.1000000000000001</v>
      </c>
      <c r="D64" s="6">
        <v>0</v>
      </c>
      <c r="E64" s="6">
        <v>0</v>
      </c>
      <c r="F64" s="6">
        <v>0</v>
      </c>
      <c r="G64" s="6">
        <v>0</v>
      </c>
      <c r="H64" s="6">
        <v>0.3</v>
      </c>
      <c r="I64" s="6">
        <v>1</v>
      </c>
      <c r="J64" s="6">
        <v>1</v>
      </c>
      <c r="K64" s="6">
        <v>1</v>
      </c>
      <c r="L64" s="6">
        <v>1</v>
      </c>
      <c r="M64" s="6">
        <v>0</v>
      </c>
      <c r="N64" s="6">
        <v>0</v>
      </c>
      <c r="O64" s="6">
        <v>0</v>
      </c>
    </row>
    <row r="65" spans="1:15">
      <c r="A65" t="s">
        <v>133</v>
      </c>
      <c r="B65" t="s">
        <v>5</v>
      </c>
      <c r="C65">
        <v>1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1</v>
      </c>
      <c r="N65" s="6">
        <v>0</v>
      </c>
      <c r="O65" s="6">
        <v>0</v>
      </c>
    </row>
    <row r="66" spans="1:15">
      <c r="A66" t="s">
        <v>69</v>
      </c>
      <c r="B66" t="s">
        <v>2</v>
      </c>
      <c r="C66">
        <v>0.65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1</v>
      </c>
    </row>
    <row r="67" spans="1:15">
      <c r="A67" t="s">
        <v>69</v>
      </c>
      <c r="B67" t="s">
        <v>3</v>
      </c>
      <c r="C67">
        <v>1.1000000000000001</v>
      </c>
      <c r="D67" s="6">
        <v>1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</row>
    <row r="68" spans="1:15">
      <c r="A68" t="s">
        <v>69</v>
      </c>
      <c r="B68" t="s">
        <v>4</v>
      </c>
      <c r="C68">
        <v>0.7</v>
      </c>
      <c r="D68" s="6">
        <v>0</v>
      </c>
      <c r="E68" s="6">
        <v>1</v>
      </c>
      <c r="F68" s="6">
        <v>0.7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</row>
    <row r="69" spans="1:15">
      <c r="A69" t="s">
        <v>69</v>
      </c>
      <c r="B69" t="s">
        <v>5</v>
      </c>
      <c r="C69">
        <v>0.2</v>
      </c>
      <c r="D69" s="6">
        <v>0</v>
      </c>
      <c r="E69" s="6">
        <v>0</v>
      </c>
      <c r="F69" s="6">
        <v>0.3</v>
      </c>
      <c r="G69" s="6">
        <v>0.5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</row>
    <row r="70" spans="1:15">
      <c r="A70" t="s">
        <v>83</v>
      </c>
      <c r="B70" t="s">
        <v>2</v>
      </c>
      <c r="C70">
        <v>0.35</v>
      </c>
      <c r="D70" s="6">
        <v>0</v>
      </c>
      <c r="E70" s="6">
        <v>0</v>
      </c>
      <c r="F70" s="6">
        <v>0</v>
      </c>
      <c r="G70" s="6">
        <v>0</v>
      </c>
      <c r="H70" s="6">
        <v>1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</row>
    <row r="71" spans="1:15">
      <c r="A71" t="s">
        <v>83</v>
      </c>
      <c r="B71" t="s">
        <v>3</v>
      </c>
      <c r="C71">
        <v>0.8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1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</row>
    <row r="72" spans="1:15">
      <c r="A72" t="s">
        <v>83</v>
      </c>
      <c r="B72" t="s">
        <v>4</v>
      </c>
      <c r="C72">
        <v>0.7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1</v>
      </c>
      <c r="K72" s="6">
        <v>1</v>
      </c>
      <c r="L72" s="6">
        <v>0</v>
      </c>
      <c r="M72" s="6">
        <v>0</v>
      </c>
      <c r="N72" s="6">
        <v>0</v>
      </c>
      <c r="O72" s="6">
        <v>0</v>
      </c>
    </row>
    <row r="73" spans="1:15">
      <c r="A73" t="s">
        <v>83</v>
      </c>
      <c r="B73" t="s">
        <v>5</v>
      </c>
      <c r="C73">
        <v>0.7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1</v>
      </c>
      <c r="M73" s="6">
        <v>0</v>
      </c>
      <c r="N73" s="6">
        <v>0</v>
      </c>
      <c r="O73" s="6">
        <v>0</v>
      </c>
    </row>
    <row r="74" spans="1:15">
      <c r="A74" t="s">
        <v>68</v>
      </c>
      <c r="B74" t="s">
        <v>2</v>
      </c>
      <c r="C74">
        <v>0.30000000000000004</v>
      </c>
      <c r="D74" s="6">
        <v>0</v>
      </c>
      <c r="E74" s="6">
        <v>0</v>
      </c>
      <c r="F74" s="6">
        <v>0.7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</row>
    <row r="75" spans="1:15">
      <c r="A75" t="s">
        <v>68</v>
      </c>
      <c r="B75" t="s">
        <v>3</v>
      </c>
      <c r="C75">
        <v>1.2</v>
      </c>
      <c r="D75" s="6">
        <v>0</v>
      </c>
      <c r="E75" s="6">
        <v>0</v>
      </c>
      <c r="F75" s="6">
        <v>0</v>
      </c>
      <c r="G75" s="6">
        <v>1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</row>
    <row r="76" spans="1:15">
      <c r="A76" t="s">
        <v>68</v>
      </c>
      <c r="B76" t="s">
        <v>4</v>
      </c>
      <c r="C76">
        <v>0.5</v>
      </c>
      <c r="D76" s="6">
        <v>0</v>
      </c>
      <c r="E76" s="6">
        <v>0</v>
      </c>
      <c r="F76" s="6">
        <v>0</v>
      </c>
      <c r="G76" s="6">
        <v>0</v>
      </c>
      <c r="H76" s="6">
        <v>1</v>
      </c>
      <c r="I76" s="6">
        <v>0.5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</row>
    <row r="77" spans="1:15">
      <c r="A77" t="s">
        <v>68</v>
      </c>
      <c r="B77" t="s">
        <v>5</v>
      </c>
      <c r="C77">
        <v>0.2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0.5</v>
      </c>
      <c r="J77" s="6">
        <v>0.7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</row>
    <row r="78" spans="1:15">
      <c r="A78" t="s">
        <v>71</v>
      </c>
      <c r="B78" t="s">
        <v>2</v>
      </c>
      <c r="C78">
        <v>0.4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1</v>
      </c>
      <c r="N78" s="6">
        <v>0</v>
      </c>
      <c r="O78" s="6">
        <v>0</v>
      </c>
    </row>
    <row r="79" spans="1:15">
      <c r="A79" t="s">
        <v>71</v>
      </c>
      <c r="B79" t="s">
        <v>3</v>
      </c>
      <c r="C79">
        <v>1.1000000000000001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0</v>
      </c>
      <c r="N79" s="6">
        <v>1</v>
      </c>
      <c r="O79" s="6">
        <v>0.5</v>
      </c>
    </row>
    <row r="80" spans="1:15">
      <c r="A80" t="s">
        <v>71</v>
      </c>
      <c r="B80" t="s">
        <v>4</v>
      </c>
      <c r="C80">
        <v>0.8</v>
      </c>
      <c r="D80" s="6">
        <v>1</v>
      </c>
      <c r="E80" s="6">
        <v>1</v>
      </c>
      <c r="F80" s="6">
        <v>0.3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</row>
    <row r="81" spans="1:15">
      <c r="A81" t="s">
        <v>71</v>
      </c>
      <c r="B81" t="s">
        <v>5</v>
      </c>
      <c r="C81">
        <v>0.4</v>
      </c>
      <c r="D81" s="6">
        <v>0</v>
      </c>
      <c r="E81" s="6">
        <v>0</v>
      </c>
      <c r="F81" s="6">
        <v>0.7</v>
      </c>
      <c r="G81" s="6">
        <v>0.3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</row>
    <row r="82" spans="1:15">
      <c r="A82" t="s">
        <v>28</v>
      </c>
      <c r="B82" t="s">
        <v>2</v>
      </c>
      <c r="C82">
        <v>0.6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0.3</v>
      </c>
      <c r="L82" s="6">
        <v>0</v>
      </c>
      <c r="M82" s="6">
        <v>0</v>
      </c>
      <c r="N82" s="6">
        <v>0</v>
      </c>
      <c r="O82" s="6">
        <v>0</v>
      </c>
    </row>
    <row r="83" spans="1:15">
      <c r="A83" t="s">
        <v>28</v>
      </c>
      <c r="B83" t="s">
        <v>3</v>
      </c>
      <c r="C83">
        <v>0.8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0.7</v>
      </c>
      <c r="M83" s="6">
        <v>0</v>
      </c>
      <c r="N83" s="6">
        <v>0</v>
      </c>
      <c r="O83" s="6">
        <v>0</v>
      </c>
    </row>
    <row r="84" spans="1:15">
      <c r="A84" t="s">
        <v>28</v>
      </c>
      <c r="B84" t="s">
        <v>4</v>
      </c>
      <c r="C84">
        <v>0.8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0</v>
      </c>
      <c r="K84" s="6">
        <v>0</v>
      </c>
      <c r="L84" s="6">
        <v>0.3</v>
      </c>
      <c r="M84" s="6">
        <v>0.3</v>
      </c>
      <c r="N84" s="6">
        <v>0</v>
      </c>
      <c r="O84" s="6">
        <v>0</v>
      </c>
    </row>
    <row r="85" spans="1:15">
      <c r="A85" t="s">
        <v>28</v>
      </c>
      <c r="B85" t="s">
        <v>5</v>
      </c>
      <c r="C85">
        <v>0.3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0.7</v>
      </c>
      <c r="N85" s="6">
        <v>0.3</v>
      </c>
      <c r="O85" s="6">
        <v>0</v>
      </c>
    </row>
    <row r="86" spans="1:15">
      <c r="A86" s="8" t="s">
        <v>29</v>
      </c>
      <c r="B86" t="s">
        <v>2</v>
      </c>
      <c r="C86">
        <v>0.2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0.7</v>
      </c>
    </row>
    <row r="87" spans="1:15">
      <c r="A87" s="8" t="s">
        <v>29</v>
      </c>
      <c r="B87" t="s">
        <v>3</v>
      </c>
      <c r="C87">
        <v>0.65</v>
      </c>
      <c r="D87" s="6">
        <v>1</v>
      </c>
      <c r="E87" s="6">
        <v>1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</row>
    <row r="88" spans="1:15">
      <c r="A88" s="8" t="s">
        <v>29</v>
      </c>
      <c r="B88" t="s">
        <v>4</v>
      </c>
      <c r="C88">
        <v>1</v>
      </c>
      <c r="D88" s="6">
        <v>0</v>
      </c>
      <c r="E88" s="6">
        <v>0</v>
      </c>
      <c r="F88" s="6">
        <v>1</v>
      </c>
      <c r="G88" s="6">
        <v>1</v>
      </c>
      <c r="H88" s="6">
        <v>0.3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</row>
    <row r="89" spans="1:15">
      <c r="A89" s="8" t="s">
        <v>29</v>
      </c>
      <c r="B89" t="s">
        <v>5</v>
      </c>
      <c r="C89">
        <v>0.55000000000000004</v>
      </c>
      <c r="D89" s="6">
        <v>0</v>
      </c>
      <c r="E89" s="6">
        <v>0</v>
      </c>
      <c r="F89" s="6">
        <v>0</v>
      </c>
      <c r="G89" s="6">
        <v>0</v>
      </c>
      <c r="H89" s="6">
        <v>0.7</v>
      </c>
      <c r="I89" s="6">
        <v>0.3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</row>
    <row r="90" spans="1:15">
      <c r="A90" t="s">
        <v>117</v>
      </c>
      <c r="B90" t="s">
        <v>2</v>
      </c>
      <c r="C90">
        <v>0.2</v>
      </c>
      <c r="D90" s="6">
        <v>0</v>
      </c>
      <c r="E90" s="6">
        <v>0</v>
      </c>
      <c r="F90" s="6">
        <v>0</v>
      </c>
      <c r="G90" s="6">
        <v>1</v>
      </c>
      <c r="H90" s="6">
        <v>0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0.7</v>
      </c>
    </row>
    <row r="91" spans="1:15">
      <c r="A91" t="s">
        <v>117</v>
      </c>
      <c r="B91" t="s">
        <v>3</v>
      </c>
      <c r="C91">
        <v>0.65</v>
      </c>
      <c r="D91" s="6">
        <v>0</v>
      </c>
      <c r="E91" s="6">
        <v>0</v>
      </c>
      <c r="F91" s="6">
        <v>0</v>
      </c>
      <c r="G91" s="6">
        <v>0</v>
      </c>
      <c r="H91" s="6">
        <v>1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</row>
    <row r="92" spans="1:15">
      <c r="A92" t="s">
        <v>117</v>
      </c>
      <c r="B92" t="s">
        <v>4</v>
      </c>
      <c r="C92">
        <v>1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1</v>
      </c>
      <c r="J92" s="6">
        <v>0.5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</row>
    <row r="93" spans="1:15">
      <c r="A93" t="s">
        <v>117</v>
      </c>
      <c r="B93" t="s">
        <v>5</v>
      </c>
      <c r="C93">
        <v>0.55000000000000004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</row>
  </sheetData>
  <sortState xmlns:xlrd2="http://schemas.microsoft.com/office/spreadsheetml/2017/richdata2" ref="A6:O89">
    <sortCondition ref="A6:A89"/>
  </sortState>
  <phoneticPr fontId="1" type="noConversion"/>
  <conditionalFormatting sqref="D2:O93">
    <cfRule type="cellIs" dxfId="6" priority="1" operator="greaterThan">
      <formula>0</formula>
    </cfRule>
    <cfRule type="cellIs" dxfId="5" priority="2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C14AE-1BE5-4B70-ADCA-7171F4200174}">
  <dimension ref="A1:M13"/>
  <sheetViews>
    <sheetView workbookViewId="0">
      <selection activeCell="D16" sqref="D16"/>
    </sheetView>
  </sheetViews>
  <sheetFormatPr defaultRowHeight="14.4"/>
  <cols>
    <col min="1" max="1" width="9.5234375" customWidth="1"/>
    <col min="4" max="4" width="6.68359375" bestFit="1" customWidth="1"/>
  </cols>
  <sheetData>
    <row r="1" spans="1:13">
      <c r="A1" t="s">
        <v>49</v>
      </c>
      <c r="B1" s="7" t="s">
        <v>32</v>
      </c>
      <c r="C1" s="7" t="s">
        <v>33</v>
      </c>
      <c r="D1" s="7" t="s">
        <v>34</v>
      </c>
      <c r="E1" s="7" t="s">
        <v>35</v>
      </c>
      <c r="F1" s="7" t="s">
        <v>36</v>
      </c>
      <c r="G1" s="7" t="s">
        <v>37</v>
      </c>
      <c r="H1" s="7" t="s">
        <v>38</v>
      </c>
      <c r="I1" s="7" t="s">
        <v>39</v>
      </c>
      <c r="J1" s="7" t="s">
        <v>40</v>
      </c>
      <c r="K1" s="7" t="s">
        <v>41</v>
      </c>
      <c r="L1" s="7" t="s">
        <v>42</v>
      </c>
      <c r="M1" s="7" t="s">
        <v>43</v>
      </c>
    </row>
    <row r="2" spans="1:13">
      <c r="A2" t="s">
        <v>44</v>
      </c>
      <c r="B2">
        <v>137.30000000000001</v>
      </c>
      <c r="C2">
        <v>154.94999999999999</v>
      </c>
      <c r="D2">
        <v>229.95</v>
      </c>
      <c r="E2">
        <v>270.125</v>
      </c>
      <c r="F2">
        <v>307.41999999999996</v>
      </c>
      <c r="G2">
        <v>317.10000000000002</v>
      </c>
      <c r="H2">
        <v>353.25</v>
      </c>
      <c r="I2">
        <v>320.45</v>
      </c>
      <c r="J2">
        <v>291.125</v>
      </c>
      <c r="K2">
        <v>239.51999999999998</v>
      </c>
      <c r="L2">
        <v>174.2</v>
      </c>
      <c r="M2">
        <v>137.6</v>
      </c>
    </row>
    <row r="4" spans="1:13">
      <c r="B4">
        <v>147.69999999999999</v>
      </c>
      <c r="C4">
        <v>168.15</v>
      </c>
      <c r="D4">
        <v>237.86</v>
      </c>
      <c r="E4">
        <v>280.31</v>
      </c>
      <c r="F4">
        <v>332.7</v>
      </c>
      <c r="G4">
        <v>358.85</v>
      </c>
      <c r="H4">
        <v>377.69</v>
      </c>
      <c r="I4">
        <v>352.58</v>
      </c>
      <c r="J4">
        <v>303.23</v>
      </c>
      <c r="K4">
        <v>252.4</v>
      </c>
      <c r="L4">
        <v>183.49</v>
      </c>
      <c r="M4">
        <v>147.79</v>
      </c>
    </row>
    <row r="5" spans="1:13">
      <c r="C5" s="7"/>
    </row>
    <row r="6" spans="1:13">
      <c r="C6" s="7"/>
    </row>
    <row r="7" spans="1:13">
      <c r="C7" s="7"/>
    </row>
    <row r="8" spans="1:13">
      <c r="C8" s="7"/>
    </row>
    <row r="9" spans="1:13">
      <c r="C9" s="7"/>
    </row>
    <row r="10" spans="1:13">
      <c r="C10" s="7"/>
    </row>
    <row r="11" spans="1:13">
      <c r="C11" s="7"/>
    </row>
    <row r="12" spans="1:13">
      <c r="C12" s="7"/>
    </row>
    <row r="13" spans="1:13">
      <c r="C13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64DAC-7757-45A6-96DC-45B590E8ED5C}">
  <dimension ref="A1:O37"/>
  <sheetViews>
    <sheetView workbookViewId="0">
      <selection activeCell="K9" sqref="K9"/>
    </sheetView>
  </sheetViews>
  <sheetFormatPr defaultRowHeight="14.4"/>
  <cols>
    <col min="1" max="1" width="9.68359375" bestFit="1" customWidth="1"/>
    <col min="4" max="4" width="13.83984375" customWidth="1"/>
    <col min="6" max="6" width="32.578125" customWidth="1"/>
    <col min="7" max="7" width="12.62890625" customWidth="1"/>
    <col min="11" max="11" width="18.89453125" customWidth="1"/>
    <col min="12" max="12" width="19.05078125" customWidth="1"/>
  </cols>
  <sheetData>
    <row r="1" spans="1:14">
      <c r="A1" t="s">
        <v>0</v>
      </c>
      <c r="B1" t="s">
        <v>142</v>
      </c>
      <c r="C1" t="s">
        <v>144</v>
      </c>
      <c r="D1" t="s">
        <v>148</v>
      </c>
      <c r="K1" t="s">
        <v>101</v>
      </c>
      <c r="L1" t="s">
        <v>102</v>
      </c>
    </row>
    <row r="2" spans="1:14">
      <c r="A2" t="s">
        <v>145</v>
      </c>
      <c r="B2" s="3">
        <v>331403.13426988589</v>
      </c>
      <c r="C2" s="3">
        <v>323494.74305656529</v>
      </c>
      <c r="D2" s="3">
        <v>1749598.7143022567</v>
      </c>
      <c r="F2" t="s">
        <v>152</v>
      </c>
      <c r="G2" s="17">
        <v>1718138</v>
      </c>
      <c r="H2" t="s">
        <v>59</v>
      </c>
      <c r="I2">
        <v>0</v>
      </c>
      <c r="J2">
        <v>25</v>
      </c>
      <c r="K2">
        <f>G2*I2</f>
        <v>0</v>
      </c>
      <c r="L2" s="3">
        <f>G2*J2</f>
        <v>42953450</v>
      </c>
    </row>
    <row r="3" spans="1:14" ht="20.399999999999999">
      <c r="A3" t="s">
        <v>146</v>
      </c>
      <c r="B3" s="3">
        <v>88735.649081285315</v>
      </c>
      <c r="C3" s="3"/>
      <c r="D3" s="3">
        <v>2530972.0244516986</v>
      </c>
      <c r="F3" s="16" t="s">
        <v>150</v>
      </c>
      <c r="G3" s="17">
        <v>1206600.2649999999</v>
      </c>
      <c r="H3" t="s">
        <v>60</v>
      </c>
      <c r="I3" s="3">
        <v>250000</v>
      </c>
      <c r="J3">
        <v>0</v>
      </c>
      <c r="K3">
        <f>G3*I3</f>
        <v>301650066250</v>
      </c>
      <c r="L3" s="3">
        <f>G3*J3</f>
        <v>0</v>
      </c>
    </row>
    <row r="4" spans="1:14" ht="20.399999999999999">
      <c r="A4" t="s">
        <v>147</v>
      </c>
      <c r="B4" s="3">
        <v>309673.55833333335</v>
      </c>
      <c r="C4" s="3"/>
      <c r="D4" s="3">
        <v>1903102.0833674041</v>
      </c>
      <c r="F4" s="16" t="s">
        <v>151</v>
      </c>
      <c r="G4" s="18">
        <v>1779913.1359999999</v>
      </c>
      <c r="H4" t="s">
        <v>60</v>
      </c>
      <c r="I4" s="3">
        <v>600000</v>
      </c>
      <c r="J4">
        <v>0</v>
      </c>
      <c r="K4">
        <f>G4*I4</f>
        <v>1067947881600</v>
      </c>
      <c r="L4" s="3">
        <f>G4*J4</f>
        <v>0</v>
      </c>
    </row>
    <row r="5" spans="1:14">
      <c r="A5" t="s">
        <v>149</v>
      </c>
      <c r="B5" s="3">
        <v>102552.7550719697</v>
      </c>
      <c r="C5" s="3"/>
      <c r="D5" s="3">
        <v>972797.36619983381</v>
      </c>
      <c r="F5" s="16" t="s">
        <v>145</v>
      </c>
      <c r="G5" s="18">
        <v>11650102.856000001</v>
      </c>
      <c r="H5" t="s">
        <v>59</v>
      </c>
      <c r="I5" s="3">
        <v>327000</v>
      </c>
      <c r="J5">
        <v>25</v>
      </c>
      <c r="K5">
        <f>G5*I5*0.34</f>
        <v>1295258435530.0801</v>
      </c>
      <c r="L5" s="3">
        <f>G5*J5*0.66</f>
        <v>192226697.12400004</v>
      </c>
    </row>
    <row r="6" spans="1:14">
      <c r="A6" t="s">
        <v>6</v>
      </c>
      <c r="B6" s="3">
        <v>119822.52953148581</v>
      </c>
      <c r="D6" s="3">
        <v>2499102.637535647</v>
      </c>
      <c r="G6" s="3">
        <f>SUM(G2:G5)</f>
        <v>16354754.256999999</v>
      </c>
    </row>
    <row r="7" spans="1:14">
      <c r="A7" s="29" t="s">
        <v>109</v>
      </c>
      <c r="B7" s="30">
        <f>SUM(B2:B6)</f>
        <v>952187.62628795998</v>
      </c>
      <c r="C7" s="30"/>
      <c r="D7" s="30">
        <f>SUM(D2:D6)</f>
        <v>9655572.8258568402</v>
      </c>
      <c r="K7" s="3">
        <f>SUM(K2:K5)</f>
        <v>2664856383380.0801</v>
      </c>
      <c r="L7" s="3">
        <f>SUM(L2:L5)</f>
        <v>235180147.12400004</v>
      </c>
    </row>
    <row r="8" spans="1:14">
      <c r="B8" s="3"/>
      <c r="C8" s="3"/>
      <c r="D8" s="3"/>
      <c r="F8" s="19" t="s">
        <v>153</v>
      </c>
      <c r="K8" s="2">
        <f>K7/(32175000*365)</f>
        <v>226.91457320348522</v>
      </c>
      <c r="L8" s="2">
        <f>L7/(32175000*365)*1000</f>
        <v>20.02577063567179</v>
      </c>
    </row>
    <row r="12" spans="1:14">
      <c r="J12" t="s">
        <v>123</v>
      </c>
      <c r="K12" t="s">
        <v>107</v>
      </c>
      <c r="N12" s="3"/>
    </row>
    <row r="13" spans="1:14">
      <c r="A13">
        <v>2023</v>
      </c>
      <c r="B13" t="s">
        <v>106</v>
      </c>
      <c r="C13" t="s">
        <v>107</v>
      </c>
      <c r="F13" s="35" t="s">
        <v>111</v>
      </c>
      <c r="G13" s="35" t="s">
        <v>112</v>
      </c>
      <c r="H13" s="35" t="s">
        <v>113</v>
      </c>
      <c r="J13" s="21">
        <v>37160827</v>
      </c>
      <c r="K13" s="21">
        <v>1903102.0833674036</v>
      </c>
    </row>
    <row r="14" spans="1:14">
      <c r="A14" s="16" t="s">
        <v>29</v>
      </c>
      <c r="B14" s="17">
        <v>210102.47007746584</v>
      </c>
      <c r="C14" s="17">
        <v>1314427.1070405911</v>
      </c>
      <c r="D14">
        <f t="shared" ref="D14:D23" si="0">C14/B14</f>
        <v>6.256124007280615</v>
      </c>
      <c r="F14" s="36"/>
      <c r="G14" s="36"/>
      <c r="H14" s="36"/>
      <c r="I14" s="24" t="s">
        <v>124</v>
      </c>
      <c r="J14" s="23">
        <f>J13/120</f>
        <v>309673.55833333335</v>
      </c>
    </row>
    <row r="15" spans="1:14">
      <c r="A15" s="16" t="s">
        <v>25</v>
      </c>
      <c r="B15" s="18">
        <v>58305.431303863799</v>
      </c>
      <c r="C15" s="18">
        <v>157423.1560129844</v>
      </c>
      <c r="D15">
        <f t="shared" si="0"/>
        <v>2.6999741274969735</v>
      </c>
      <c r="F15" s="16" t="s">
        <v>28</v>
      </c>
      <c r="G15" s="18">
        <v>23655.638126042562</v>
      </c>
      <c r="H15" s="18">
        <v>613632.09029916418</v>
      </c>
      <c r="I15" s="24" t="s">
        <v>125</v>
      </c>
      <c r="J15">
        <f>K13/J14</f>
        <v>6.1455104323724665</v>
      </c>
    </row>
    <row r="16" spans="1:14">
      <c r="A16" s="16" t="s">
        <v>103</v>
      </c>
      <c r="B16" s="17">
        <v>12923.094669341262</v>
      </c>
      <c r="C16" s="17">
        <v>34459.062596957097</v>
      </c>
      <c r="D16">
        <f t="shared" si="0"/>
        <v>2.6664714202479494</v>
      </c>
      <c r="F16" s="16" t="s">
        <v>114</v>
      </c>
      <c r="G16" s="17">
        <v>17084.623503441653</v>
      </c>
      <c r="H16" s="17">
        <v>621751.28297616926</v>
      </c>
    </row>
    <row r="17" spans="1:15">
      <c r="A17" s="16" t="s">
        <v>15</v>
      </c>
      <c r="B17" s="18">
        <v>8326.7996188817597</v>
      </c>
      <c r="C17" s="18">
        <v>63721.513563851026</v>
      </c>
      <c r="D17">
        <f t="shared" si="0"/>
        <v>7.6525816016224075</v>
      </c>
      <c r="F17" s="16" t="s">
        <v>115</v>
      </c>
      <c r="G17" s="18">
        <v>13085.107324887944</v>
      </c>
      <c r="H17" s="18">
        <v>392294.01450204168</v>
      </c>
    </row>
    <row r="18" spans="1:15">
      <c r="A18" s="16" t="s">
        <v>17</v>
      </c>
      <c r="B18" s="17">
        <v>7060.7880445814044</v>
      </c>
      <c r="C18" s="17">
        <v>13235.158013460079</v>
      </c>
      <c r="D18">
        <f t="shared" si="0"/>
        <v>1.8744590447828291</v>
      </c>
      <c r="F18" s="16" t="s">
        <v>116</v>
      </c>
      <c r="G18" s="17">
        <v>4164.4001954381192</v>
      </c>
      <c r="H18" s="17">
        <v>313495.67954007233</v>
      </c>
      <c r="I18" s="35" t="s">
        <v>126</v>
      </c>
      <c r="J18" s="35" t="s">
        <v>127</v>
      </c>
      <c r="K18" s="35" t="s">
        <v>128</v>
      </c>
      <c r="L18" s="35" t="s">
        <v>129</v>
      </c>
      <c r="M18" s="37" t="s">
        <v>143</v>
      </c>
      <c r="N18" s="38" t="s">
        <v>142</v>
      </c>
      <c r="O18" s="38" t="s">
        <v>1</v>
      </c>
    </row>
    <row r="19" spans="1:15">
      <c r="A19" s="16" t="s">
        <v>15</v>
      </c>
      <c r="B19" s="18">
        <v>5306.2896814978503</v>
      </c>
      <c r="C19" s="18">
        <v>36544.018239363759</v>
      </c>
      <c r="D19">
        <f t="shared" si="0"/>
        <v>6.8869248444514204</v>
      </c>
      <c r="F19" s="16" t="s">
        <v>13</v>
      </c>
      <c r="G19" s="18">
        <v>3414.7126853213749</v>
      </c>
      <c r="H19" s="18">
        <v>58496.546716116129</v>
      </c>
      <c r="I19" s="36"/>
      <c r="J19" s="36"/>
      <c r="K19" s="36"/>
      <c r="L19" s="36"/>
      <c r="M19" s="37"/>
      <c r="N19" s="38"/>
      <c r="O19" s="38"/>
    </row>
    <row r="20" spans="1:15">
      <c r="A20" s="16" t="s">
        <v>24</v>
      </c>
      <c r="B20" s="17">
        <v>4295.68</v>
      </c>
      <c r="C20" s="17">
        <v>4214.2217567957559</v>
      </c>
      <c r="D20">
        <f t="shared" si="0"/>
        <v>0.98103717148292136</v>
      </c>
      <c r="F20" s="16" t="s">
        <v>18</v>
      </c>
      <c r="G20" s="17">
        <v>3060.2528283627062</v>
      </c>
      <c r="H20" s="17">
        <v>25934.254232733452</v>
      </c>
      <c r="I20" s="16" t="s">
        <v>130</v>
      </c>
      <c r="J20" s="18">
        <v>20948316</v>
      </c>
      <c r="K20" s="18">
        <v>17577319</v>
      </c>
      <c r="L20" s="18">
        <v>342780.69936999999</v>
      </c>
      <c r="M20" s="25">
        <v>400</v>
      </c>
      <c r="N20" s="15">
        <f>J20/M20</f>
        <v>52370.79</v>
      </c>
      <c r="O20" s="2">
        <f>L20/N20</f>
        <v>6.5452650107053945</v>
      </c>
    </row>
    <row r="21" spans="1:15">
      <c r="A21" s="16" t="s">
        <v>83</v>
      </c>
      <c r="B21" s="18">
        <v>385.8901515151515</v>
      </c>
      <c r="C21" s="18">
        <v>907.58889795167408</v>
      </c>
      <c r="D21">
        <f t="shared" si="0"/>
        <v>2.3519358926060563</v>
      </c>
      <c r="F21" s="16" t="s">
        <v>117</v>
      </c>
      <c r="G21" s="18">
        <v>2740.3947902731607</v>
      </c>
      <c r="H21" s="18">
        <v>50626.210362874175</v>
      </c>
      <c r="I21" s="16" t="s">
        <v>14</v>
      </c>
      <c r="J21" s="17">
        <v>7135336</v>
      </c>
      <c r="K21" s="17">
        <v>6184448</v>
      </c>
      <c r="L21" s="17">
        <v>122278.14550000001</v>
      </c>
      <c r="M21" s="26"/>
      <c r="N21" s="15">
        <f>L21/O21</f>
        <v>11116.195045454546</v>
      </c>
      <c r="O21" s="2">
        <v>11</v>
      </c>
    </row>
    <row r="22" spans="1:15">
      <c r="A22" s="16" t="s">
        <v>104</v>
      </c>
      <c r="B22" s="17">
        <v>216.44376055149641</v>
      </c>
      <c r="C22" s="17">
        <v>754.46432004271605</v>
      </c>
      <c r="D22">
        <f t="shared" si="0"/>
        <v>3.4857291248329312</v>
      </c>
      <c r="F22" s="16" t="s">
        <v>16</v>
      </c>
      <c r="G22" s="17">
        <v>2138.8611741244722</v>
      </c>
      <c r="H22" s="17">
        <v>63059.572347687303</v>
      </c>
      <c r="I22" s="16" t="s">
        <v>131</v>
      </c>
      <c r="J22" s="18">
        <v>1842774</v>
      </c>
      <c r="K22" s="18">
        <v>1532810</v>
      </c>
      <c r="L22" s="18">
        <v>120082.33273007286</v>
      </c>
      <c r="M22" s="25">
        <v>330</v>
      </c>
      <c r="N22" s="15">
        <f t="shared" ref="N22:N33" si="1">J22/M22</f>
        <v>5584.1636363636362</v>
      </c>
      <c r="O22" s="2">
        <f t="shared" ref="O22:O34" si="2">L22/N22</f>
        <v>21.504085580176433</v>
      </c>
    </row>
    <row r="23" spans="1:15">
      <c r="A23" s="16" t="s">
        <v>105</v>
      </c>
      <c r="B23" s="18">
        <v>24480.246962187317</v>
      </c>
      <c r="C23" s="18">
        <v>123912.42386025898</v>
      </c>
      <c r="D23">
        <f t="shared" si="0"/>
        <v>5.0617309560502637</v>
      </c>
      <c r="F23" s="16" t="s">
        <v>118</v>
      </c>
      <c r="G23" s="18">
        <v>1706.7516603321606</v>
      </c>
      <c r="H23" s="18">
        <v>23611.415298242202</v>
      </c>
      <c r="I23" s="16" t="s">
        <v>132</v>
      </c>
      <c r="J23" s="17">
        <v>1629568</v>
      </c>
      <c r="K23" s="17">
        <v>1092175</v>
      </c>
      <c r="L23" s="17">
        <v>96580.225999999995</v>
      </c>
      <c r="M23" s="26">
        <v>100</v>
      </c>
      <c r="N23" s="15">
        <f t="shared" si="1"/>
        <v>16295.68</v>
      </c>
      <c r="O23" s="2">
        <f t="shared" si="2"/>
        <v>5.9267380066373416</v>
      </c>
    </row>
    <row r="24" spans="1:15" ht="20.399999999999999">
      <c r="A24" s="20" t="s">
        <v>109</v>
      </c>
      <c r="B24" s="3">
        <f>SUM(B14:B23)</f>
        <v>331403.13426988595</v>
      </c>
      <c r="C24" s="3">
        <f>SUM(C14:C23)</f>
        <v>1749598.7143022565</v>
      </c>
      <c r="F24" s="16" t="s">
        <v>119</v>
      </c>
      <c r="G24" s="17">
        <v>1067.6888801766179</v>
      </c>
      <c r="H24" s="17">
        <v>72440.575192473261</v>
      </c>
      <c r="I24" s="16" t="s">
        <v>133</v>
      </c>
      <c r="J24" s="18">
        <v>1492690</v>
      </c>
      <c r="K24" s="18">
        <v>1270392</v>
      </c>
      <c r="L24" s="18">
        <v>37110.398330435259</v>
      </c>
      <c r="M24" s="25">
        <v>500</v>
      </c>
      <c r="N24" s="15">
        <f t="shared" si="1"/>
        <v>2985.38</v>
      </c>
      <c r="O24" s="2">
        <f t="shared" si="2"/>
        <v>12.430711778880832</v>
      </c>
    </row>
    <row r="25" spans="1:15">
      <c r="A25" s="19" t="s">
        <v>108</v>
      </c>
      <c r="B25" s="3">
        <f>B24-SUM(B14:B15,B17:B20)</f>
        <v>38005.67554359528</v>
      </c>
      <c r="C25" s="3">
        <f>C24-SUM(C14:C15,C17:C20)</f>
        <v>160033.53967521037</v>
      </c>
      <c r="F25" s="16" t="s">
        <v>10</v>
      </c>
      <c r="G25" s="18">
        <v>990.80892778724285</v>
      </c>
      <c r="H25" s="18">
        <v>21797.796411319345</v>
      </c>
      <c r="I25" s="16" t="s">
        <v>92</v>
      </c>
      <c r="J25" s="17">
        <v>1524777</v>
      </c>
      <c r="K25" s="17">
        <v>1190099</v>
      </c>
      <c r="L25" s="17">
        <v>35119.349999999991</v>
      </c>
      <c r="M25" s="27">
        <v>2000</v>
      </c>
      <c r="N25" s="15">
        <f t="shared" si="1"/>
        <v>762.38850000000002</v>
      </c>
      <c r="O25" s="2">
        <f t="shared" si="2"/>
        <v>46.064899982095731</v>
      </c>
    </row>
    <row r="26" spans="1:15">
      <c r="F26" s="16" t="s">
        <v>120</v>
      </c>
      <c r="G26" s="17">
        <v>823.42843826536534</v>
      </c>
      <c r="H26" s="17">
        <v>10669.501451733231</v>
      </c>
      <c r="I26" s="16" t="s">
        <v>134</v>
      </c>
      <c r="J26" s="18">
        <v>679032</v>
      </c>
      <c r="K26" s="18">
        <v>551242</v>
      </c>
      <c r="L26" s="18">
        <v>28159.248462340125</v>
      </c>
      <c r="M26" s="27">
        <v>500</v>
      </c>
      <c r="N26" s="15">
        <f t="shared" si="1"/>
        <v>1358.0640000000001</v>
      </c>
      <c r="O26" s="2">
        <f t="shared" si="2"/>
        <v>20.734846415441485</v>
      </c>
    </row>
    <row r="27" spans="1:15">
      <c r="F27" s="16" t="s">
        <v>121</v>
      </c>
      <c r="G27" s="18">
        <v>14802.980546831935</v>
      </c>
      <c r="H27" s="18">
        <v>263163.08512107248</v>
      </c>
      <c r="I27" s="16" t="s">
        <v>135</v>
      </c>
      <c r="J27" s="17">
        <v>671223</v>
      </c>
      <c r="K27" s="17">
        <v>376138</v>
      </c>
      <c r="L27" s="17">
        <v>9027.3119999999981</v>
      </c>
      <c r="M27" s="27">
        <v>1600</v>
      </c>
      <c r="N27" s="15">
        <f t="shared" si="1"/>
        <v>419.51437499999997</v>
      </c>
      <c r="O27" s="2">
        <f t="shared" si="2"/>
        <v>21.518480743359508</v>
      </c>
    </row>
    <row r="28" spans="1:15">
      <c r="F28" s="16" t="s">
        <v>122</v>
      </c>
      <c r="G28" s="21">
        <v>88735.649081285315</v>
      </c>
      <c r="H28" s="21">
        <v>2530972.0244516986</v>
      </c>
      <c r="I28" s="16" t="s">
        <v>136</v>
      </c>
      <c r="J28" s="18">
        <v>470861</v>
      </c>
      <c r="K28" s="18">
        <v>390146</v>
      </c>
      <c r="L28" s="18">
        <v>35067.743068107673</v>
      </c>
      <c r="M28" s="27">
        <v>330</v>
      </c>
      <c r="N28" s="15">
        <f t="shared" si="1"/>
        <v>1426.8515151515151</v>
      </c>
      <c r="O28" s="2">
        <f t="shared" si="2"/>
        <v>24.577009377450103</v>
      </c>
    </row>
    <row r="29" spans="1:15">
      <c r="I29" s="16" t="s">
        <v>137</v>
      </c>
      <c r="J29" s="17">
        <v>418006</v>
      </c>
      <c r="K29" s="17">
        <v>379147</v>
      </c>
      <c r="L29" s="17">
        <v>1516.5880000000002</v>
      </c>
      <c r="M29" s="27">
        <v>500</v>
      </c>
      <c r="N29" s="15">
        <f t="shared" si="1"/>
        <v>836.01199999999994</v>
      </c>
      <c r="O29" s="2">
        <f t="shared" si="2"/>
        <v>1.8140744391228838</v>
      </c>
    </row>
    <row r="30" spans="1:15">
      <c r="F30" s="19" t="s">
        <v>22</v>
      </c>
      <c r="G30" s="22">
        <f>G28-SUM(G15:G20,G25,G22)</f>
        <v>21141.244315879245</v>
      </c>
      <c r="H30" s="22">
        <f>H28-SUM(H15:H20,H25,H22)</f>
        <v>420510.78742639488</v>
      </c>
      <c r="I30" s="16" t="s">
        <v>138</v>
      </c>
      <c r="J30" s="18">
        <v>428001</v>
      </c>
      <c r="K30" s="18">
        <v>404603</v>
      </c>
      <c r="L30" s="18">
        <v>28702.254699565165</v>
      </c>
      <c r="M30" s="27">
        <v>500</v>
      </c>
      <c r="N30" s="15">
        <f t="shared" si="1"/>
        <v>856.00199999999995</v>
      </c>
      <c r="O30" s="2">
        <f t="shared" si="2"/>
        <v>33.530593035489595</v>
      </c>
    </row>
    <row r="31" spans="1:15">
      <c r="I31" s="16" t="s">
        <v>139</v>
      </c>
      <c r="J31" s="17">
        <v>300821</v>
      </c>
      <c r="K31" s="17">
        <v>284820</v>
      </c>
      <c r="L31" s="17">
        <v>15999.391956386757</v>
      </c>
      <c r="M31" s="27">
        <v>500</v>
      </c>
      <c r="N31" s="15">
        <f t="shared" si="1"/>
        <v>601.64200000000005</v>
      </c>
      <c r="O31" s="2">
        <f t="shared" si="2"/>
        <v>26.592877419440057</v>
      </c>
    </row>
    <row r="32" spans="1:15">
      <c r="I32" s="16" t="s">
        <v>140</v>
      </c>
      <c r="J32" s="18">
        <v>1145017</v>
      </c>
      <c r="K32" s="18">
        <v>935096</v>
      </c>
      <c r="L32" s="18">
        <v>763.34367346938791</v>
      </c>
      <c r="M32" s="27">
        <v>500</v>
      </c>
      <c r="N32" s="15">
        <f t="shared" si="1"/>
        <v>2290.0340000000001</v>
      </c>
      <c r="O32" s="2">
        <f t="shared" si="2"/>
        <v>0.33333289962917051</v>
      </c>
    </row>
    <row r="33" spans="9:15" ht="30.6">
      <c r="I33" s="16" t="s">
        <v>141</v>
      </c>
      <c r="J33" s="17">
        <v>2825019</v>
      </c>
      <c r="K33" s="17">
        <v>1754561</v>
      </c>
      <c r="L33" s="17">
        <v>99610.332409456576</v>
      </c>
      <c r="M33" s="28">
        <v>500</v>
      </c>
      <c r="N33" s="15">
        <f t="shared" si="1"/>
        <v>5650.0379999999996</v>
      </c>
      <c r="O33" s="2">
        <f t="shared" si="2"/>
        <v>17.630028755462632</v>
      </c>
    </row>
    <row r="34" spans="9:15">
      <c r="I34" s="16" t="s">
        <v>122</v>
      </c>
      <c r="J34" s="21">
        <v>41511441</v>
      </c>
      <c r="K34" s="21">
        <f>SUM(K20:K33)</f>
        <v>33922996</v>
      </c>
      <c r="L34" s="21">
        <v>972797.36619983381</v>
      </c>
      <c r="N34" s="15">
        <f>SUM(N20:N33)</f>
        <v>102552.7550719697</v>
      </c>
      <c r="O34" s="2">
        <f t="shared" si="2"/>
        <v>9.4858238134815771</v>
      </c>
    </row>
    <row r="36" spans="9:15">
      <c r="I36" s="19" t="s">
        <v>9</v>
      </c>
      <c r="J36" s="3">
        <f>J22+J28</f>
        <v>2313635</v>
      </c>
      <c r="K36" s="3">
        <f>K22+K28</f>
        <v>1922956</v>
      </c>
      <c r="L36" s="3">
        <f>L22+L28</f>
        <v>155150.07579818054</v>
      </c>
      <c r="N36" s="3">
        <f>N22+N28</f>
        <v>7011.015151515151</v>
      </c>
    </row>
    <row r="37" spans="9:15">
      <c r="I37" s="19" t="s">
        <v>76</v>
      </c>
      <c r="J37" s="22">
        <f>J34-J21-J22-J28</f>
        <v>32062470</v>
      </c>
      <c r="K37" s="22">
        <f>K34-K21-K22-K28</f>
        <v>25815592</v>
      </c>
      <c r="L37" s="22">
        <f>L34-L21-L22-L28</f>
        <v>695369.14490165329</v>
      </c>
      <c r="N37" s="22">
        <f>N34-N21-N22-N28</f>
        <v>84425.544875000007</v>
      </c>
    </row>
  </sheetData>
  <mergeCells count="10">
    <mergeCell ref="L18:L19"/>
    <mergeCell ref="M18:M19"/>
    <mergeCell ref="N18:N19"/>
    <mergeCell ref="O18:O19"/>
    <mergeCell ref="F13:F14"/>
    <mergeCell ref="G13:G14"/>
    <mergeCell ref="H13:H14"/>
    <mergeCell ref="I18:I19"/>
    <mergeCell ref="J18:J19"/>
    <mergeCell ref="K18:K1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4BF1D-AC29-4817-BE0C-4F2CE8D3DCFC}">
  <dimension ref="A1:G27"/>
  <sheetViews>
    <sheetView workbookViewId="0">
      <selection activeCell="B2" sqref="B2:B5"/>
    </sheetView>
  </sheetViews>
  <sheetFormatPr defaultRowHeight="14.4"/>
  <cols>
    <col min="1" max="1" width="20.47265625" bestFit="1" customWidth="1"/>
    <col min="2" max="3" width="9.89453125" bestFit="1" customWidth="1"/>
    <col min="4" max="4" width="11.3671875" customWidth="1"/>
    <col min="6" max="6" width="15.3671875" customWidth="1"/>
    <col min="7" max="7" width="15.9453125" bestFit="1" customWidth="1"/>
  </cols>
  <sheetData>
    <row r="1" spans="1:7">
      <c r="A1" t="s">
        <v>0</v>
      </c>
      <c r="B1" t="s">
        <v>97</v>
      </c>
      <c r="C1" t="s">
        <v>96</v>
      </c>
      <c r="D1" t="s">
        <v>98</v>
      </c>
      <c r="F1" t="s">
        <v>0</v>
      </c>
      <c r="G1" t="s">
        <v>96</v>
      </c>
    </row>
    <row r="2" spans="1:7">
      <c r="A2" t="s">
        <v>7</v>
      </c>
      <c r="B2" s="9">
        <v>585.52453239360261</v>
      </c>
      <c r="C2" s="9">
        <f>_xlfn.XLOOKUP(A2,F$2:F$27,G$2:G$27)</f>
        <v>266.36250610541265</v>
      </c>
      <c r="D2" s="11">
        <f>C2-B2</f>
        <v>-319.16202628818996</v>
      </c>
      <c r="F2" t="s">
        <v>93</v>
      </c>
      <c r="G2" s="9">
        <v>1070.6398411009732</v>
      </c>
    </row>
    <row r="3" spans="1:7">
      <c r="A3" t="s">
        <v>8</v>
      </c>
      <c r="B3" s="9">
        <v>1008</v>
      </c>
      <c r="C3" s="9" t="e">
        <f t="shared" ref="C3:C22" si="0">_xlfn.XLOOKUP(A3,F$2:F$27,G$2:G$27)</f>
        <v>#N/A</v>
      </c>
      <c r="D3" s="11" t="e">
        <f t="shared" ref="D3:D22" si="1">C3-B3</f>
        <v>#N/A</v>
      </c>
      <c r="F3" t="s">
        <v>92</v>
      </c>
      <c r="G3" s="9">
        <v>1414.2253788088583</v>
      </c>
    </row>
    <row r="4" spans="1:7">
      <c r="A4" t="s">
        <v>9</v>
      </c>
      <c r="B4" s="9">
        <v>3000</v>
      </c>
      <c r="C4" s="9">
        <v>1415.7274346389679</v>
      </c>
      <c r="D4" s="11">
        <f t="shared" si="1"/>
        <v>-1584.2725653610321</v>
      </c>
      <c r="F4" t="s">
        <v>7</v>
      </c>
      <c r="G4" s="9">
        <v>266.36250610541265</v>
      </c>
    </row>
    <row r="5" spans="1:7">
      <c r="A5" t="s">
        <v>75</v>
      </c>
      <c r="B5" s="9">
        <v>1128</v>
      </c>
      <c r="C5" s="9">
        <f t="shared" si="0"/>
        <v>1043.7062937062938</v>
      </c>
      <c r="D5" s="11">
        <f t="shared" si="1"/>
        <v>-84.293706293706236</v>
      </c>
      <c r="F5" t="s">
        <v>95</v>
      </c>
      <c r="G5" s="9">
        <v>823.74274661508707</v>
      </c>
    </row>
    <row r="6" spans="1:7">
      <c r="A6" t="s">
        <v>11</v>
      </c>
      <c r="B6" s="9">
        <v>3400.0000000000005</v>
      </c>
      <c r="C6" s="9">
        <f t="shared" si="0"/>
        <v>883.67052023121391</v>
      </c>
      <c r="D6" s="11">
        <f t="shared" si="1"/>
        <v>-2516.3294797687868</v>
      </c>
      <c r="F6" t="s">
        <v>75</v>
      </c>
      <c r="G6" s="9">
        <v>1043.7062937062938</v>
      </c>
    </row>
    <row r="7" spans="1:7">
      <c r="A7" t="s">
        <v>12</v>
      </c>
      <c r="B7" s="9">
        <v>754.7</v>
      </c>
      <c r="C7" s="9" t="e">
        <f t="shared" si="0"/>
        <v>#N/A</v>
      </c>
      <c r="D7" s="11" t="e">
        <f t="shared" si="1"/>
        <v>#N/A</v>
      </c>
      <c r="F7" t="s">
        <v>11</v>
      </c>
      <c r="G7" s="9">
        <v>883.67052023121391</v>
      </c>
    </row>
    <row r="8" spans="1:7">
      <c r="A8" t="s">
        <v>13</v>
      </c>
      <c r="B8" s="9">
        <v>981.3</v>
      </c>
      <c r="C8" s="9" t="e">
        <f t="shared" si="0"/>
        <v>#N/A</v>
      </c>
      <c r="D8" s="11" t="e">
        <f t="shared" si="1"/>
        <v>#N/A</v>
      </c>
      <c r="F8" t="s">
        <v>87</v>
      </c>
      <c r="G8" s="9">
        <v>533.5335335335335</v>
      </c>
    </row>
    <row r="9" spans="1:7">
      <c r="A9" t="s">
        <v>14</v>
      </c>
      <c r="B9" s="9">
        <v>2573.3000000000002</v>
      </c>
      <c r="C9" s="9">
        <f t="shared" si="0"/>
        <v>730.72905050884458</v>
      </c>
      <c r="D9" s="11">
        <f t="shared" si="1"/>
        <v>-1842.5709494911557</v>
      </c>
      <c r="F9" t="s">
        <v>14</v>
      </c>
      <c r="G9" s="9">
        <v>730.72905050884458</v>
      </c>
    </row>
    <row r="10" spans="1:7">
      <c r="A10" t="s">
        <v>77</v>
      </c>
      <c r="B10" s="9">
        <v>1006</v>
      </c>
      <c r="C10" s="9">
        <f t="shared" si="0"/>
        <v>636.43944628433917</v>
      </c>
      <c r="D10" s="11">
        <f t="shared" si="1"/>
        <v>-369.56055371566083</v>
      </c>
      <c r="F10" t="s">
        <v>88</v>
      </c>
      <c r="G10" s="9">
        <v>586.16714697406337</v>
      </c>
    </row>
    <row r="11" spans="1:7">
      <c r="A11" t="s">
        <v>62</v>
      </c>
      <c r="B11" s="9">
        <v>658.97317202835393</v>
      </c>
      <c r="C11" s="9">
        <f t="shared" si="0"/>
        <v>243.52212315291558</v>
      </c>
      <c r="D11" s="11">
        <f t="shared" si="1"/>
        <v>-415.45104887543835</v>
      </c>
      <c r="F11" t="s">
        <v>77</v>
      </c>
      <c r="G11" s="9">
        <v>636.43944628433917</v>
      </c>
    </row>
    <row r="12" spans="1:7">
      <c r="A12" t="s">
        <v>63</v>
      </c>
      <c r="B12" s="9">
        <v>658.97317202835393</v>
      </c>
      <c r="C12" s="9">
        <f t="shared" si="0"/>
        <v>243.52212315291558</v>
      </c>
      <c r="D12" s="11">
        <f t="shared" si="1"/>
        <v>-415.45104887543835</v>
      </c>
      <c r="F12" t="s">
        <v>91</v>
      </c>
      <c r="G12" s="9">
        <v>1415.7274346389679</v>
      </c>
    </row>
    <row r="13" spans="1:7">
      <c r="A13" t="s">
        <v>74</v>
      </c>
      <c r="B13" s="9">
        <v>890.7</v>
      </c>
      <c r="C13" s="9">
        <v>1437.9930966469428</v>
      </c>
      <c r="D13" s="11">
        <f t="shared" si="1"/>
        <v>547.29309664694279</v>
      </c>
      <c r="F13" t="s">
        <v>86</v>
      </c>
      <c r="G13" s="9">
        <v>598.71644468980753</v>
      </c>
    </row>
    <row r="14" spans="1:7">
      <c r="A14" t="s">
        <v>18</v>
      </c>
      <c r="B14" s="9">
        <v>3717.3</v>
      </c>
      <c r="C14" s="9" t="e">
        <f t="shared" si="0"/>
        <v>#N/A</v>
      </c>
      <c r="D14" s="11" t="e">
        <f t="shared" si="1"/>
        <v>#N/A</v>
      </c>
      <c r="F14" t="s">
        <v>62</v>
      </c>
      <c r="G14" s="9">
        <v>243.52212315291558</v>
      </c>
    </row>
    <row r="15" spans="1:7">
      <c r="A15" t="s">
        <v>76</v>
      </c>
      <c r="B15" s="9">
        <v>1165.9807956104253</v>
      </c>
      <c r="C15" s="9">
        <f t="shared" si="0"/>
        <v>630.00949411056354</v>
      </c>
      <c r="D15" s="11">
        <f t="shared" si="1"/>
        <v>-535.97130149986174</v>
      </c>
      <c r="F15" t="s">
        <v>63</v>
      </c>
      <c r="G15" s="9">
        <v>243.52212315291558</v>
      </c>
    </row>
    <row r="16" spans="1:7">
      <c r="A16" t="s">
        <v>22</v>
      </c>
      <c r="B16" s="9">
        <v>1020</v>
      </c>
      <c r="C16" s="9">
        <f t="shared" si="0"/>
        <v>1166.3247966652546</v>
      </c>
      <c r="D16" s="11">
        <f t="shared" si="1"/>
        <v>146.32479666525455</v>
      </c>
      <c r="F16" t="s">
        <v>94</v>
      </c>
      <c r="G16" s="9">
        <v>1174.7553461399057</v>
      </c>
    </row>
    <row r="17" spans="1:7">
      <c r="A17" t="s">
        <v>69</v>
      </c>
      <c r="B17" s="9">
        <v>813.3</v>
      </c>
      <c r="C17" s="9">
        <f t="shared" si="0"/>
        <v>725.74257425742576</v>
      </c>
      <c r="D17" s="11">
        <f t="shared" si="1"/>
        <v>-87.557425742574196</v>
      </c>
      <c r="F17" t="s">
        <v>90</v>
      </c>
      <c r="G17" s="9">
        <v>2086.2832948766777</v>
      </c>
    </row>
    <row r="18" spans="1:7">
      <c r="A18" t="s">
        <v>70</v>
      </c>
      <c r="B18" s="9">
        <v>3427.4193548387098</v>
      </c>
      <c r="C18" s="9" t="e">
        <f t="shared" si="0"/>
        <v>#N/A</v>
      </c>
      <c r="D18" s="11" t="e">
        <f t="shared" si="1"/>
        <v>#N/A</v>
      </c>
      <c r="F18" t="s">
        <v>84</v>
      </c>
      <c r="G18" s="9">
        <v>398.87508788376647</v>
      </c>
    </row>
    <row r="19" spans="1:7">
      <c r="A19" t="s">
        <v>68</v>
      </c>
      <c r="B19" s="9">
        <v>893.96659938958339</v>
      </c>
      <c r="C19" s="9">
        <f t="shared" si="0"/>
        <v>294.05162738496074</v>
      </c>
      <c r="D19" s="11">
        <f t="shared" si="1"/>
        <v>-599.91497200462265</v>
      </c>
      <c r="F19" t="s">
        <v>76</v>
      </c>
      <c r="G19" s="9">
        <v>630.00949411056354</v>
      </c>
    </row>
    <row r="20" spans="1:7">
      <c r="A20" t="s">
        <v>71</v>
      </c>
      <c r="B20" s="9">
        <v>1264</v>
      </c>
      <c r="C20" s="9">
        <f t="shared" si="0"/>
        <v>1960.925108243666</v>
      </c>
      <c r="D20" s="11">
        <f t="shared" si="1"/>
        <v>696.92510824366605</v>
      </c>
      <c r="F20" t="s">
        <v>22</v>
      </c>
      <c r="G20" s="9">
        <v>1166.3247966652546</v>
      </c>
    </row>
    <row r="21" spans="1:7">
      <c r="A21" t="s">
        <v>73</v>
      </c>
      <c r="B21" s="9">
        <v>504</v>
      </c>
      <c r="C21" s="9">
        <v>1437.9930966469428</v>
      </c>
      <c r="D21" s="11">
        <f t="shared" si="1"/>
        <v>933.99309664694283</v>
      </c>
      <c r="F21" t="s">
        <v>69</v>
      </c>
      <c r="G21" s="9">
        <v>725.74257425742576</v>
      </c>
    </row>
    <row r="22" spans="1:7">
      <c r="A22" t="s">
        <v>29</v>
      </c>
      <c r="B22" s="9">
        <v>372</v>
      </c>
      <c r="C22" s="9">
        <f t="shared" si="0"/>
        <v>247.29861565629747</v>
      </c>
      <c r="D22" s="11">
        <f t="shared" si="1"/>
        <v>-124.70138434370253</v>
      </c>
      <c r="F22" t="s">
        <v>85</v>
      </c>
      <c r="G22" s="9">
        <v>344.51544195953136</v>
      </c>
    </row>
    <row r="23" spans="1:7">
      <c r="F23" t="s">
        <v>83</v>
      </c>
      <c r="G23" s="9">
        <v>1059.2893991135652</v>
      </c>
    </row>
    <row r="24" spans="1:7">
      <c r="F24" t="s">
        <v>68</v>
      </c>
      <c r="G24" s="9">
        <v>294.05162738496074</v>
      </c>
    </row>
    <row r="25" spans="1:7">
      <c r="F25" t="s">
        <v>71</v>
      </c>
      <c r="G25" s="9">
        <v>1960.925108243666</v>
      </c>
    </row>
    <row r="26" spans="1:7">
      <c r="F26" t="s">
        <v>89</v>
      </c>
      <c r="G26" s="9">
        <v>1437.9930966469428</v>
      </c>
    </row>
    <row r="27" spans="1:7">
      <c r="F27" t="s">
        <v>29</v>
      </c>
      <c r="G27" s="9">
        <v>247.29861565629747</v>
      </c>
    </row>
  </sheetData>
  <sortState xmlns:xlrd2="http://schemas.microsoft.com/office/spreadsheetml/2017/richdata2" ref="F2:G27">
    <sortCondition ref="F27"/>
  </sortState>
  <conditionalFormatting sqref="D2:D22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1A999-4446-4433-8BD1-053F19B573EE}">
  <dimension ref="A1:AB65"/>
  <sheetViews>
    <sheetView workbookViewId="0"/>
  </sheetViews>
  <sheetFormatPr defaultRowHeight="14.4"/>
  <cols>
    <col min="1" max="1" width="14.7890625" customWidth="1"/>
    <col min="2" max="2" width="11.734375" customWidth="1"/>
    <col min="3" max="3" width="12.20703125" customWidth="1"/>
    <col min="4" max="4" width="12.05078125" customWidth="1"/>
    <col min="5" max="5" width="10.20703125" bestFit="1" customWidth="1"/>
    <col min="6" max="6" width="10.3125" bestFit="1" customWidth="1"/>
    <col min="7" max="7" width="17.3125" customWidth="1"/>
    <col min="8" max="8" width="15.26171875" customWidth="1"/>
    <col min="9" max="9" width="13.3125" bestFit="1" customWidth="1"/>
    <col min="10" max="10" width="13.9453125" bestFit="1" customWidth="1"/>
    <col min="11" max="12" width="11.05078125" customWidth="1"/>
    <col min="13" max="17" width="13.9453125" customWidth="1"/>
    <col min="18" max="18" width="6.62890625" customWidth="1"/>
    <col min="19" max="20" width="13.9453125" customWidth="1"/>
    <col min="21" max="21" width="15.26171875" customWidth="1"/>
    <col min="22" max="23" width="16.62890625" customWidth="1"/>
    <col min="24" max="24" width="10.68359375" bestFit="1" customWidth="1"/>
    <col min="25" max="25" width="18.05078125" bestFit="1" customWidth="1"/>
    <col min="27" max="27" width="17.3125" customWidth="1"/>
  </cols>
  <sheetData>
    <row r="1" spans="1:28">
      <c r="A1" t="s">
        <v>0</v>
      </c>
      <c r="B1" t="s">
        <v>1</v>
      </c>
      <c r="C1" t="s">
        <v>52</v>
      </c>
      <c r="D1" t="s">
        <v>54</v>
      </c>
      <c r="E1" t="s">
        <v>45</v>
      </c>
      <c r="F1" t="s">
        <v>46</v>
      </c>
      <c r="G1" t="s">
        <v>50</v>
      </c>
      <c r="H1" t="s">
        <v>53</v>
      </c>
      <c r="I1" t="s">
        <v>55</v>
      </c>
      <c r="J1" t="s">
        <v>56</v>
      </c>
      <c r="K1" t="s">
        <v>58</v>
      </c>
      <c r="L1" t="s">
        <v>61</v>
      </c>
      <c r="M1" t="s">
        <v>64</v>
      </c>
      <c r="N1" t="s">
        <v>65</v>
      </c>
      <c r="P1" t="s">
        <v>66</v>
      </c>
      <c r="Q1" t="s">
        <v>67</v>
      </c>
      <c r="T1" t="s">
        <v>57</v>
      </c>
      <c r="V1" t="s">
        <v>30</v>
      </c>
      <c r="AA1" t="s">
        <v>50</v>
      </c>
    </row>
    <row r="2" spans="1:28">
      <c r="A2" s="1" t="s">
        <v>6</v>
      </c>
      <c r="B2" s="2">
        <v>16.760000000000002</v>
      </c>
      <c r="C2" s="9">
        <v>16860.560000000001</v>
      </c>
      <c r="D2" s="9">
        <f>C2/B2</f>
        <v>1006</v>
      </c>
      <c r="E2" s="3">
        <v>160360</v>
      </c>
      <c r="F2" s="3">
        <v>0</v>
      </c>
      <c r="G2" s="3">
        <v>3501775.0141414148</v>
      </c>
      <c r="H2" s="9">
        <v>1082.4947155592317</v>
      </c>
      <c r="I2" s="9">
        <v>1082.4947155592317</v>
      </c>
      <c r="J2" s="9">
        <v>1044.2473577796159</v>
      </c>
      <c r="K2" s="2" t="s">
        <v>59</v>
      </c>
      <c r="L2" s="3">
        <v>320000</v>
      </c>
      <c r="M2" s="13">
        <v>25</v>
      </c>
      <c r="N2" s="3">
        <v>3501775.0141414148</v>
      </c>
      <c r="O2" s="3"/>
      <c r="P2" s="3">
        <f>D2-I2</f>
        <v>-76.494715559231736</v>
      </c>
      <c r="Q2" s="3">
        <f>H2-J2</f>
        <v>38.247357779615868</v>
      </c>
      <c r="R2" s="13"/>
      <c r="S2" s="9">
        <f>J2-H2</f>
        <v>-38.247357779615868</v>
      </c>
      <c r="T2" s="2">
        <v>1082.4947155592317</v>
      </c>
      <c r="U2" s="9">
        <f>D2-I2</f>
        <v>-76.494715559231736</v>
      </c>
      <c r="V2" s="3">
        <v>3493.6336000000006</v>
      </c>
      <c r="W2" s="3"/>
      <c r="X2">
        <f>C2*E2</f>
        <v>2703759401.6000004</v>
      </c>
      <c r="Y2" s="11">
        <f>(G2-B2*E2)*H2</f>
        <v>881303778.52600133</v>
      </c>
      <c r="AA2">
        <v>3493633.6000000006</v>
      </c>
      <c r="AB2" s="3">
        <v>2687633.6</v>
      </c>
    </row>
    <row r="3" spans="1:28">
      <c r="A3" t="s">
        <v>7</v>
      </c>
      <c r="B3" s="2">
        <v>8</v>
      </c>
      <c r="C3" s="9">
        <v>4684.1962591488209</v>
      </c>
      <c r="D3" s="9">
        <f t="shared" ref="D3:D24" si="0">C3/B3</f>
        <v>585.52453239360261</v>
      </c>
      <c r="E3" s="3">
        <v>1978.3994201398696</v>
      </c>
      <c r="F3" s="3">
        <v>21.60057986013047</v>
      </c>
      <c r="G3" s="3">
        <v>7295613.0925093088</v>
      </c>
      <c r="H3" s="9">
        <v>997.68035847668227</v>
      </c>
      <c r="I3" s="9">
        <v>997.68035847668227</v>
      </c>
      <c r="J3" s="9">
        <v>650.58281377066953</v>
      </c>
      <c r="K3" s="2" t="s">
        <v>59</v>
      </c>
      <c r="L3" s="3">
        <v>3340000</v>
      </c>
      <c r="M3" s="13">
        <v>25</v>
      </c>
      <c r="N3" s="3">
        <v>7295613.0925093088</v>
      </c>
      <c r="O3" s="3"/>
      <c r="P3" s="3">
        <f t="shared" ref="P3:P24" si="1">D3-I3</f>
        <v>-412.15582608307966</v>
      </c>
      <c r="Q3" s="3">
        <f t="shared" ref="Q3:Q24" si="2">H3-J3</f>
        <v>347.09754470601274</v>
      </c>
      <c r="R3" s="13"/>
      <c r="S3" s="9">
        <f t="shared" ref="S3:S24" si="3">J3-H3</f>
        <v>-347.09754470601274</v>
      </c>
      <c r="T3" s="2">
        <v>997.68035847668227</v>
      </c>
      <c r="U3" s="9">
        <f t="shared" ref="U3:U24" si="4">D3-I3</f>
        <v>-412.15582608307966</v>
      </c>
      <c r="V3" s="3">
        <v>7241.17</v>
      </c>
      <c r="W3" s="3"/>
      <c r="X3">
        <f t="shared" ref="X3:X24" si="5">C3*E3</f>
        <v>9267211.1629213728</v>
      </c>
      <c r="Y3" s="11">
        <f t="shared" ref="Y3:Y24" si="6">(G3-B3*E3)*H3</f>
        <v>7262899403.5003023</v>
      </c>
      <c r="AA3">
        <v>7222720</v>
      </c>
      <c r="AB3" s="3">
        <v>15827.195361118956</v>
      </c>
    </row>
    <row r="4" spans="1:28">
      <c r="A4" t="s">
        <v>8</v>
      </c>
      <c r="B4" s="2">
        <v>14.75</v>
      </c>
      <c r="C4" s="9">
        <v>14868</v>
      </c>
      <c r="D4" s="9">
        <f t="shared" si="0"/>
        <v>1008</v>
      </c>
      <c r="E4" s="3">
        <v>3200</v>
      </c>
      <c r="F4" s="3">
        <v>0</v>
      </c>
      <c r="G4" s="3">
        <v>47200.000000000007</v>
      </c>
      <c r="H4" s="9">
        <v>1474.2602727019757</v>
      </c>
      <c r="I4" s="9">
        <v>1474.2602727019757</v>
      </c>
      <c r="J4" s="9">
        <v>1259.8425196850394</v>
      </c>
      <c r="K4" s="2" t="s">
        <v>60</v>
      </c>
      <c r="L4" s="3">
        <v>410000</v>
      </c>
      <c r="M4" s="3">
        <v>0</v>
      </c>
      <c r="N4" s="3">
        <v>47200.000000000007</v>
      </c>
      <c r="O4" s="3"/>
      <c r="P4" s="3">
        <f t="shared" si="1"/>
        <v>-466.26027270197574</v>
      </c>
      <c r="Q4" s="3">
        <f t="shared" si="2"/>
        <v>214.41775301693633</v>
      </c>
      <c r="R4" s="3"/>
      <c r="S4" s="9">
        <f t="shared" si="3"/>
        <v>-214.41775301693633</v>
      </c>
      <c r="T4" s="2">
        <v>1474.2602727019757</v>
      </c>
      <c r="U4" s="9">
        <f t="shared" si="4"/>
        <v>-466.26027270197574</v>
      </c>
      <c r="V4" s="3">
        <v>47.2</v>
      </c>
      <c r="W4" s="3"/>
      <c r="X4">
        <f t="shared" si="5"/>
        <v>47577600</v>
      </c>
      <c r="Y4" s="11">
        <f t="shared" si="6"/>
        <v>1.0726655256454074E-8</v>
      </c>
      <c r="AA4">
        <v>47200</v>
      </c>
      <c r="AB4" s="3">
        <v>47200</v>
      </c>
    </row>
    <row r="5" spans="1:28">
      <c r="A5" t="s">
        <v>9</v>
      </c>
      <c r="B5" s="2">
        <v>7.415492957746479</v>
      </c>
      <c r="C5" s="9">
        <v>22246.478873239437</v>
      </c>
      <c r="D5" s="9">
        <f t="shared" si="0"/>
        <v>3000</v>
      </c>
      <c r="E5" s="3">
        <v>14200</v>
      </c>
      <c r="F5" s="3">
        <v>0</v>
      </c>
      <c r="G5" s="3">
        <v>105299.99999999999</v>
      </c>
      <c r="H5" s="9">
        <v>3208.3980532256396</v>
      </c>
      <c r="I5" s="9">
        <v>3208.3980532256396</v>
      </c>
      <c r="J5" s="9">
        <v>3886.2980235398622</v>
      </c>
      <c r="K5" s="2" t="s">
        <v>60</v>
      </c>
      <c r="L5" s="3">
        <v>450000</v>
      </c>
      <c r="M5" s="3">
        <v>0</v>
      </c>
      <c r="N5" s="3">
        <v>105299.99999999999</v>
      </c>
      <c r="O5" s="3"/>
      <c r="P5" s="3">
        <f t="shared" si="1"/>
        <v>-208.39805322563961</v>
      </c>
      <c r="Q5" s="3">
        <f t="shared" si="2"/>
        <v>-677.89997031422263</v>
      </c>
      <c r="R5" s="3"/>
      <c r="S5" s="9">
        <f t="shared" si="3"/>
        <v>677.89997031422263</v>
      </c>
      <c r="T5" s="2">
        <v>3208.3980532256396</v>
      </c>
      <c r="U5" s="9">
        <f t="shared" si="4"/>
        <v>-208.39805322563961</v>
      </c>
      <c r="V5" s="3">
        <v>105.3</v>
      </c>
      <c r="W5" s="3"/>
      <c r="X5">
        <f t="shared" si="5"/>
        <v>315900000</v>
      </c>
      <c r="Y5" s="11">
        <f t="shared" si="6"/>
        <v>-4.6688336489396746E-8</v>
      </c>
      <c r="AA5">
        <v>105300</v>
      </c>
      <c r="AB5" s="3">
        <v>105300</v>
      </c>
    </row>
    <row r="6" spans="1:28">
      <c r="A6" t="s">
        <v>10</v>
      </c>
      <c r="B6" s="2">
        <v>71.79245283018868</v>
      </c>
      <c r="C6" s="9">
        <v>80981.886792452831</v>
      </c>
      <c r="D6" s="9">
        <f t="shared" si="0"/>
        <v>1128</v>
      </c>
      <c r="E6" s="3">
        <v>5240.6502968159739</v>
      </c>
      <c r="F6" s="3">
        <v>59.349703184025906</v>
      </c>
      <c r="G6" s="3">
        <v>386969.35543461895</v>
      </c>
      <c r="H6" s="9">
        <v>1176.7450980392157</v>
      </c>
      <c r="I6" s="9">
        <v>1176.7450980392157</v>
      </c>
      <c r="J6" s="9">
        <v>1225.4901960784314</v>
      </c>
      <c r="K6" s="2" t="s">
        <v>60</v>
      </c>
      <c r="L6" s="3">
        <v>150000</v>
      </c>
      <c r="M6" s="3">
        <v>0</v>
      </c>
      <c r="N6" s="3">
        <v>386969.35543461895</v>
      </c>
      <c r="O6" s="3"/>
      <c r="P6" s="3">
        <f t="shared" si="1"/>
        <v>-48.745098039215691</v>
      </c>
      <c r="Q6" s="3">
        <f t="shared" si="2"/>
        <v>-48.745098039215691</v>
      </c>
      <c r="R6" s="3"/>
      <c r="S6" s="9">
        <f t="shared" si="3"/>
        <v>48.745098039215691</v>
      </c>
      <c r="T6" s="2">
        <v>1176.7450980392157</v>
      </c>
      <c r="U6" s="9">
        <f t="shared" si="4"/>
        <v>-48.745098039215691</v>
      </c>
      <c r="V6" s="3">
        <v>390.2</v>
      </c>
      <c r="W6" s="3"/>
      <c r="X6">
        <f t="shared" si="5"/>
        <v>424397749.0555855</v>
      </c>
      <c r="Y6" s="11">
        <f t="shared" si="6"/>
        <v>12626729.315361666</v>
      </c>
      <c r="AA6">
        <v>384500</v>
      </c>
      <c r="AB6" s="3">
        <v>376239.13923367509</v>
      </c>
    </row>
    <row r="7" spans="1:28">
      <c r="A7" t="s">
        <v>11</v>
      </c>
      <c r="B7" s="2">
        <v>5.764870050584336</v>
      </c>
      <c r="C7" s="9">
        <v>19600.558171986744</v>
      </c>
      <c r="D7" s="9">
        <f t="shared" si="0"/>
        <v>3400.0000000000005</v>
      </c>
      <c r="E7" s="3">
        <v>171990</v>
      </c>
      <c r="F7" s="3">
        <v>0</v>
      </c>
      <c r="G7" s="3">
        <v>995590.90909090918</v>
      </c>
      <c r="H7" s="9">
        <v>3546.5326220763236</v>
      </c>
      <c r="I7" s="9">
        <v>3546.5326220763236</v>
      </c>
      <c r="J7" s="9">
        <v>3693.0652441526468</v>
      </c>
      <c r="K7" s="2" t="s">
        <v>60</v>
      </c>
      <c r="L7" s="3">
        <v>2820000</v>
      </c>
      <c r="M7" s="3">
        <v>0</v>
      </c>
      <c r="N7" s="3">
        <v>995590.90909090918</v>
      </c>
      <c r="O7" s="3"/>
      <c r="P7" s="3">
        <f t="shared" si="1"/>
        <v>-146.53262207632315</v>
      </c>
      <c r="Q7" s="3">
        <f t="shared" si="2"/>
        <v>-146.53262207632315</v>
      </c>
      <c r="R7" s="3"/>
      <c r="S7" s="9">
        <f t="shared" si="3"/>
        <v>146.53262207632315</v>
      </c>
      <c r="T7" s="2">
        <v>3546.5326220763236</v>
      </c>
      <c r="U7" s="9">
        <f t="shared" si="4"/>
        <v>-146.53262207632315</v>
      </c>
      <c r="V7" s="3">
        <v>1068.95</v>
      </c>
      <c r="W7" s="3"/>
      <c r="X7">
        <f t="shared" si="5"/>
        <v>3371100000</v>
      </c>
      <c r="Y7" s="11">
        <f t="shared" si="6"/>
        <v>14508542.544857988</v>
      </c>
      <c r="AA7">
        <v>995550</v>
      </c>
      <c r="AB7" s="3">
        <v>991500</v>
      </c>
    </row>
    <row r="8" spans="1:28">
      <c r="A8" t="s">
        <v>12</v>
      </c>
      <c r="B8" s="2">
        <v>25.888888888888889</v>
      </c>
      <c r="C8" s="9">
        <v>19538.344444444447</v>
      </c>
      <c r="D8" s="9">
        <f t="shared" si="0"/>
        <v>754.7</v>
      </c>
      <c r="E8" s="3">
        <v>2700</v>
      </c>
      <c r="F8" s="3">
        <v>0</v>
      </c>
      <c r="G8" s="3">
        <v>395182.82828282821</v>
      </c>
      <c r="H8" s="9">
        <v>1507.1379088916233</v>
      </c>
      <c r="I8" s="9">
        <v>1507.1379088916233</v>
      </c>
      <c r="J8" s="9">
        <v>880.29439353488704</v>
      </c>
      <c r="K8" s="2" t="s">
        <v>60</v>
      </c>
      <c r="L8" s="3">
        <v>400000</v>
      </c>
      <c r="M8" s="3">
        <v>0</v>
      </c>
      <c r="N8" s="3">
        <v>395182.82828282821</v>
      </c>
      <c r="O8" s="3"/>
      <c r="P8" s="3">
        <f t="shared" si="1"/>
        <v>-752.43790889162324</v>
      </c>
      <c r="Q8" s="3">
        <f t="shared" si="2"/>
        <v>626.84351535673625</v>
      </c>
      <c r="R8" s="3"/>
      <c r="S8" s="9">
        <f t="shared" si="3"/>
        <v>-626.84351535673625</v>
      </c>
      <c r="T8" s="2">
        <v>1507.1379088916233</v>
      </c>
      <c r="U8" s="9">
        <f t="shared" si="4"/>
        <v>-752.43790889162324</v>
      </c>
      <c r="V8" s="3">
        <v>463.92999999999995</v>
      </c>
      <c r="W8" s="3"/>
      <c r="X8">
        <f t="shared" si="5"/>
        <v>52753530.000000007</v>
      </c>
      <c r="Y8" s="11">
        <f t="shared" si="6"/>
        <v>490246081.61653471</v>
      </c>
      <c r="AA8">
        <v>391929.99999999994</v>
      </c>
      <c r="AB8" s="3">
        <v>69900</v>
      </c>
    </row>
    <row r="9" spans="1:28">
      <c r="A9" t="s">
        <v>13</v>
      </c>
      <c r="B9" s="2">
        <v>15.914285714285715</v>
      </c>
      <c r="C9" s="9">
        <v>15616.688571428571</v>
      </c>
      <c r="D9" s="9">
        <f t="shared" si="0"/>
        <v>981.3</v>
      </c>
      <c r="E9" s="3">
        <v>3496.5254798146921</v>
      </c>
      <c r="F9" s="3">
        <v>3.474520185307743</v>
      </c>
      <c r="G9" s="3">
        <v>55752.173473369527</v>
      </c>
      <c r="H9" s="12">
        <v>997.19887955182071</v>
      </c>
      <c r="I9" s="9">
        <v>997.19887955182071</v>
      </c>
      <c r="J9" s="9">
        <v>1060.4453870625664</v>
      </c>
      <c r="K9" s="2" t="s">
        <v>60</v>
      </c>
      <c r="L9" s="3">
        <v>250000</v>
      </c>
      <c r="M9" s="3">
        <v>0</v>
      </c>
      <c r="N9" s="3">
        <v>55752.173473369527</v>
      </c>
      <c r="O9" s="3"/>
      <c r="P9" s="3">
        <f t="shared" si="1"/>
        <v>-15.898879551820755</v>
      </c>
      <c r="Q9" s="3">
        <f t="shared" si="2"/>
        <v>-63.246507510745687</v>
      </c>
      <c r="R9" s="3"/>
      <c r="S9" s="9">
        <f t="shared" si="3"/>
        <v>63.246507510745687</v>
      </c>
      <c r="T9" s="2">
        <v>997.19887955182071</v>
      </c>
      <c r="U9" s="9">
        <f t="shared" si="4"/>
        <v>-15.898879551820755</v>
      </c>
      <c r="V9" s="3">
        <v>55.7</v>
      </c>
      <c r="W9" s="3"/>
      <c r="X9">
        <f t="shared" si="5"/>
        <v>54604149.500330903</v>
      </c>
      <c r="Y9" s="11">
        <f t="shared" si="6"/>
        <v>107166.94956137691</v>
      </c>
      <c r="AA9">
        <v>55700</v>
      </c>
      <c r="AB9" s="3">
        <v>55644.705493050955</v>
      </c>
    </row>
    <row r="10" spans="1:28">
      <c r="A10" t="s">
        <v>14</v>
      </c>
      <c r="B10" s="2">
        <v>12.043478260869565</v>
      </c>
      <c r="C10" s="9">
        <v>30991.482608695653</v>
      </c>
      <c r="D10" s="9">
        <f t="shared" si="0"/>
        <v>2573.3000000000002</v>
      </c>
      <c r="E10" s="3">
        <v>11500</v>
      </c>
      <c r="F10" s="3">
        <v>0</v>
      </c>
      <c r="G10" s="3">
        <v>177520.20202020201</v>
      </c>
      <c r="H10" s="9">
        <v>3208.3980532256396</v>
      </c>
      <c r="I10" s="9">
        <v>3208.3980532256396</v>
      </c>
      <c r="J10" s="9">
        <v>4875.406283856988</v>
      </c>
      <c r="K10" s="2" t="s">
        <v>60</v>
      </c>
      <c r="L10" s="3">
        <v>690000</v>
      </c>
      <c r="M10" s="3">
        <v>0</v>
      </c>
      <c r="N10" s="3">
        <v>177520.20202020201</v>
      </c>
      <c r="O10" s="3"/>
      <c r="P10" s="3">
        <f t="shared" si="1"/>
        <v>-635.09805322563943</v>
      </c>
      <c r="Q10" s="3">
        <f t="shared" si="2"/>
        <v>-1667.0082306313484</v>
      </c>
      <c r="R10" s="3"/>
      <c r="S10" s="9">
        <f t="shared" si="3"/>
        <v>1667.0082306313484</v>
      </c>
      <c r="T10" s="2">
        <v>3208.3980532256396</v>
      </c>
      <c r="U10" s="9">
        <f t="shared" si="4"/>
        <v>-635.09805322563943</v>
      </c>
      <c r="V10" s="3">
        <v>178.98</v>
      </c>
      <c r="W10" s="3"/>
      <c r="X10">
        <f t="shared" si="5"/>
        <v>356402050</v>
      </c>
      <c r="Y10" s="11">
        <f t="shared" si="6"/>
        <v>125192340.19808729</v>
      </c>
      <c r="AA10">
        <v>177130</v>
      </c>
      <c r="AB10" s="3">
        <v>138500</v>
      </c>
    </row>
    <row r="11" spans="1:28">
      <c r="A11" t="s">
        <v>62</v>
      </c>
      <c r="B11" s="2">
        <v>5.2666666666666666</v>
      </c>
      <c r="C11" s="9">
        <v>3470.5920393493307</v>
      </c>
      <c r="D11" s="9">
        <f t="shared" si="0"/>
        <v>658.97317202835393</v>
      </c>
      <c r="E11" s="3">
        <v>12153.644700291174</v>
      </c>
      <c r="F11" s="3">
        <v>2846.3552997088264</v>
      </c>
      <c r="G11" s="3">
        <v>2018018.651204779</v>
      </c>
      <c r="H11" s="9">
        <v>912.0735945029121</v>
      </c>
      <c r="I11" s="9">
        <v>912.0735945029121</v>
      </c>
      <c r="J11" s="9">
        <v>1140.0919931286401</v>
      </c>
      <c r="K11" s="2" t="s">
        <v>59</v>
      </c>
      <c r="L11" s="3">
        <v>3650000</v>
      </c>
      <c r="M11" s="13">
        <v>25</v>
      </c>
      <c r="N11" s="3">
        <v>1009009.3256023895</v>
      </c>
      <c r="O11" s="3"/>
      <c r="P11" s="3">
        <f t="shared" si="1"/>
        <v>-253.10042247455817</v>
      </c>
      <c r="Q11" s="3">
        <f t="shared" si="2"/>
        <v>-228.01839862572797</v>
      </c>
      <c r="R11" s="3"/>
      <c r="S11" s="9">
        <f t="shared" si="3"/>
        <v>228.01839862572797</v>
      </c>
      <c r="T11" s="2">
        <v>912.0735945029121</v>
      </c>
      <c r="U11" s="9">
        <f t="shared" si="4"/>
        <v>-253.10042247455817</v>
      </c>
      <c r="V11" s="3">
        <v>1990.27</v>
      </c>
      <c r="W11" s="3"/>
      <c r="X11">
        <f t="shared" si="5"/>
        <v>42180342.545910731</v>
      </c>
      <c r="Y11" s="11">
        <f t="shared" si="6"/>
        <v>1782200428.028904</v>
      </c>
      <c r="AA11">
        <v>1990120</v>
      </c>
      <c r="AB11" s="3">
        <v>64009.195421533514</v>
      </c>
    </row>
    <row r="12" spans="1:28">
      <c r="A12" t="s">
        <v>63</v>
      </c>
      <c r="B12" s="2">
        <v>5.2666666666666666</v>
      </c>
      <c r="C12" s="9">
        <v>3470.5920393493307</v>
      </c>
      <c r="D12" s="9">
        <f t="shared" si="0"/>
        <v>658.97317202835393</v>
      </c>
      <c r="E12" s="3">
        <v>12153.644700291174</v>
      </c>
      <c r="F12" s="3">
        <v>2846.3552997088264</v>
      </c>
      <c r="G12" s="3">
        <v>2018018.651204779</v>
      </c>
      <c r="H12" s="9">
        <v>912.0735945029121</v>
      </c>
      <c r="I12" s="9">
        <v>912.0735945029121</v>
      </c>
      <c r="J12" s="9">
        <v>1140.0919931286401</v>
      </c>
      <c r="K12" s="2" t="s">
        <v>60</v>
      </c>
      <c r="L12" s="3">
        <v>3650000</v>
      </c>
      <c r="M12" s="3">
        <v>0</v>
      </c>
      <c r="N12" s="3">
        <v>1009009.3256023895</v>
      </c>
      <c r="O12" s="3"/>
      <c r="P12" s="3">
        <f t="shared" si="1"/>
        <v>-253.10042247455817</v>
      </c>
      <c r="Q12" s="3">
        <f t="shared" si="2"/>
        <v>-228.01839862572797</v>
      </c>
      <c r="R12" s="3"/>
      <c r="S12" s="9">
        <f t="shared" si="3"/>
        <v>228.01839862572797</v>
      </c>
      <c r="T12" s="2"/>
      <c r="U12" s="9"/>
      <c r="V12" s="3"/>
      <c r="W12" s="3"/>
      <c r="Y12" s="11"/>
      <c r="AB12" s="3"/>
    </row>
    <row r="13" spans="1:28">
      <c r="A13" t="s">
        <v>16</v>
      </c>
      <c r="B13" s="2">
        <v>19.849198868991518</v>
      </c>
      <c r="C13" s="9">
        <v>17679.681432610745</v>
      </c>
      <c r="D13" s="9">
        <f t="shared" si="0"/>
        <v>890.7</v>
      </c>
      <c r="E13" s="3">
        <v>8932.444101571693</v>
      </c>
      <c r="F13" s="3">
        <v>1677.5558984283064</v>
      </c>
      <c r="G13" s="3">
        <v>218758.3515181088</v>
      </c>
      <c r="H13" s="9">
        <v>1373.6134057115885</v>
      </c>
      <c r="I13" s="9">
        <v>1373.6134057115885</v>
      </c>
      <c r="J13" s="9">
        <v>1480.1657785671994</v>
      </c>
      <c r="K13" s="2" t="s">
        <v>60</v>
      </c>
      <c r="L13" s="3">
        <v>340000</v>
      </c>
      <c r="M13" s="3">
        <v>0</v>
      </c>
      <c r="N13" s="3">
        <v>218758.3515181088</v>
      </c>
      <c r="O13" s="3"/>
      <c r="P13" s="3">
        <f t="shared" si="1"/>
        <v>-482.91340571158844</v>
      </c>
      <c r="Q13" s="3">
        <f t="shared" si="2"/>
        <v>-106.55237285561088</v>
      </c>
      <c r="R13" s="3"/>
      <c r="S13" s="9">
        <f t="shared" si="3"/>
        <v>106.55237285561088</v>
      </c>
      <c r="T13" s="2">
        <v>1373.6134057115885</v>
      </c>
      <c r="U13" s="9">
        <f t="shared" si="4"/>
        <v>-482.91340571158844</v>
      </c>
      <c r="V13" s="3">
        <v>210.6</v>
      </c>
      <c r="W13" s="3"/>
      <c r="X13">
        <f t="shared" si="5"/>
        <v>157922766.13039044</v>
      </c>
      <c r="Y13" s="11">
        <f t="shared" si="6"/>
        <v>56945193.384563789</v>
      </c>
      <c r="AA13">
        <v>210600</v>
      </c>
      <c r="AB13" s="3">
        <v>177301.85935824682</v>
      </c>
    </row>
    <row r="14" spans="1:28">
      <c r="A14" t="s">
        <v>17</v>
      </c>
      <c r="B14" s="2">
        <v>2.5316455696202529</v>
      </c>
      <c r="C14" s="9">
        <v>2038.1498649871141</v>
      </c>
      <c r="D14" s="9">
        <f t="shared" si="0"/>
        <v>805.06919666991018</v>
      </c>
      <c r="E14" s="3">
        <v>3634.4179894179902</v>
      </c>
      <c r="F14" s="3">
        <v>12165.582010582011</v>
      </c>
      <c r="G14" s="3">
        <v>60896.958276732083</v>
      </c>
      <c r="H14" s="9">
        <v>1114.2826251486647</v>
      </c>
      <c r="I14" s="9">
        <v>1114.2826251486647</v>
      </c>
      <c r="J14" s="9">
        <v>1392.8532814358307</v>
      </c>
      <c r="K14" s="2" t="s">
        <v>59</v>
      </c>
      <c r="L14" s="3">
        <v>3780000</v>
      </c>
      <c r="M14" s="13">
        <v>25</v>
      </c>
      <c r="N14" s="3">
        <v>60896.958276732083</v>
      </c>
      <c r="O14" s="3"/>
      <c r="P14" s="3">
        <f t="shared" si="1"/>
        <v>-309.21342847875451</v>
      </c>
      <c r="Q14" s="3">
        <f t="shared" si="2"/>
        <v>-278.570656287166</v>
      </c>
      <c r="R14" s="13"/>
      <c r="S14" s="9">
        <f t="shared" si="3"/>
        <v>278.570656287166</v>
      </c>
      <c r="T14" s="2">
        <v>1114.2826251486647</v>
      </c>
      <c r="U14" s="9">
        <f t="shared" si="4"/>
        <v>-309.21342847875451</v>
      </c>
      <c r="V14" s="3">
        <v>40</v>
      </c>
      <c r="W14" s="3"/>
      <c r="X14">
        <f t="shared" si="5"/>
        <v>7407488.5344390152</v>
      </c>
      <c r="Y14" s="11">
        <f t="shared" si="6"/>
        <v>57603843.245744951</v>
      </c>
      <c r="AA14">
        <v>40000</v>
      </c>
      <c r="AB14" s="3">
        <v>9201.058201058202</v>
      </c>
    </row>
    <row r="15" spans="1:28">
      <c r="A15" t="s">
        <v>18</v>
      </c>
      <c r="B15" s="2">
        <v>13.285714285714285</v>
      </c>
      <c r="C15" s="9">
        <v>49386.985714285714</v>
      </c>
      <c r="D15" s="9">
        <f t="shared" si="0"/>
        <v>3717.3</v>
      </c>
      <c r="E15" s="3">
        <v>4161.4847161572052</v>
      </c>
      <c r="F15" s="3">
        <v>38.515283842794751</v>
      </c>
      <c r="G15" s="3">
        <v>56302.956386282647</v>
      </c>
      <c r="H15" s="9">
        <v>3784.2851946162241</v>
      </c>
      <c r="I15" s="9">
        <v>3784.2851946162241</v>
      </c>
      <c r="J15" s="9">
        <v>1177.8563015312131</v>
      </c>
      <c r="K15" s="2" t="s">
        <v>60</v>
      </c>
      <c r="L15" s="3">
        <v>330000</v>
      </c>
      <c r="M15" s="3">
        <v>0</v>
      </c>
      <c r="N15" s="3">
        <v>56302.956386282647</v>
      </c>
      <c r="O15" s="3"/>
      <c r="P15" s="3">
        <f t="shared" si="1"/>
        <v>-66.985194616223907</v>
      </c>
      <c r="Q15" s="3">
        <f t="shared" si="2"/>
        <v>2606.4288930850107</v>
      </c>
      <c r="R15" s="3"/>
      <c r="S15" s="9">
        <f t="shared" si="3"/>
        <v>-2606.4288930850107</v>
      </c>
      <c r="T15" s="2">
        <v>3784.2851946162241</v>
      </c>
      <c r="U15" s="9">
        <f t="shared" si="4"/>
        <v>-66.985194616223907</v>
      </c>
      <c r="V15" s="3">
        <v>55.8</v>
      </c>
      <c r="W15" s="3"/>
      <c r="X15">
        <f t="shared" si="5"/>
        <v>205523186.22707424</v>
      </c>
      <c r="Y15" s="11">
        <f t="shared" si="6"/>
        <v>3839760.7079162463</v>
      </c>
      <c r="AA15">
        <v>55800</v>
      </c>
      <c r="AB15" s="3">
        <v>55288.296943231435</v>
      </c>
    </row>
    <row r="16" spans="1:28">
      <c r="A16" t="s">
        <v>19</v>
      </c>
      <c r="B16" s="2">
        <v>5.4722899965144656</v>
      </c>
      <c r="C16" s="9">
        <v>7287.2661786917633</v>
      </c>
      <c r="D16" s="9">
        <f t="shared" si="0"/>
        <v>1331.6666666666667</v>
      </c>
      <c r="E16" s="3">
        <v>286900</v>
      </c>
      <c r="F16" s="3">
        <v>0</v>
      </c>
      <c r="G16" s="3">
        <v>13771222.22222222</v>
      </c>
      <c r="H16" s="9">
        <v>1275.6049055353001</v>
      </c>
      <c r="I16" s="9">
        <v>1350</v>
      </c>
      <c r="J16" s="9">
        <v>1566.6666666666667</v>
      </c>
      <c r="K16" s="2" t="s">
        <v>59</v>
      </c>
      <c r="L16" s="3">
        <v>3500000</v>
      </c>
      <c r="M16" s="13">
        <v>25</v>
      </c>
      <c r="N16" s="3">
        <v>13771222.22222222</v>
      </c>
      <c r="O16" s="3"/>
      <c r="P16" s="3">
        <f t="shared" si="1"/>
        <v>-18.333333333333258</v>
      </c>
      <c r="Q16" s="3">
        <f t="shared" si="2"/>
        <v>-291.06176113136667</v>
      </c>
      <c r="R16" s="13"/>
      <c r="S16" s="9">
        <f t="shared" si="3"/>
        <v>291.06176113136667</v>
      </c>
      <c r="T16" s="2">
        <v>1275.6049055353001</v>
      </c>
      <c r="U16" s="9">
        <f t="shared" si="4"/>
        <v>-18.333333333333258</v>
      </c>
      <c r="V16" s="3">
        <v>13695.21</v>
      </c>
      <c r="W16" s="3"/>
      <c r="X16">
        <f t="shared" si="5"/>
        <v>2090716666.666667</v>
      </c>
      <c r="Y16" s="11">
        <f t="shared" si="6"/>
        <v>15563938920.19298</v>
      </c>
      <c r="AA16">
        <v>13649210</v>
      </c>
      <c r="AB16" s="3">
        <v>1570000.0000000002</v>
      </c>
    </row>
    <row r="17" spans="1:28">
      <c r="A17" t="s">
        <v>21</v>
      </c>
      <c r="B17" s="2">
        <v>6.4741793853230183</v>
      </c>
      <c r="C17" s="9">
        <v>7548.7688306235468</v>
      </c>
      <c r="D17" s="9">
        <f t="shared" si="0"/>
        <v>1165.9807956104253</v>
      </c>
      <c r="E17" s="3">
        <v>239150</v>
      </c>
      <c r="F17" s="3">
        <v>0</v>
      </c>
      <c r="G17" s="3">
        <v>2581774.7474747482</v>
      </c>
      <c r="H17" s="9">
        <v>2914.5807403309823</v>
      </c>
      <c r="I17" s="9">
        <v>2914.5807403309823</v>
      </c>
      <c r="J17" s="9">
        <v>1371.7421124828534</v>
      </c>
      <c r="K17" s="2" t="s">
        <v>60</v>
      </c>
      <c r="L17" s="3">
        <v>600000</v>
      </c>
      <c r="M17" s="3">
        <v>0</v>
      </c>
      <c r="N17" s="3">
        <v>2581774.7474747482</v>
      </c>
      <c r="O17" s="3"/>
      <c r="P17" s="3">
        <f t="shared" si="1"/>
        <v>-1748.599944720557</v>
      </c>
      <c r="Q17" s="3">
        <f t="shared" si="2"/>
        <v>1542.8386278481289</v>
      </c>
      <c r="R17" s="3"/>
      <c r="S17" s="9">
        <f t="shared" si="3"/>
        <v>-1542.8386278481289</v>
      </c>
      <c r="T17" s="2">
        <v>2914.5807403309823</v>
      </c>
      <c r="U17" s="9">
        <f t="shared" si="4"/>
        <v>-1748.599944720557</v>
      </c>
      <c r="V17" s="3">
        <v>2571.44</v>
      </c>
      <c r="W17" s="3"/>
      <c r="X17">
        <f t="shared" si="5"/>
        <v>1805288065.8436213</v>
      </c>
      <c r="Y17" s="11">
        <f t="shared" si="6"/>
        <v>3012145594.6083274</v>
      </c>
      <c r="AA17">
        <v>2571440</v>
      </c>
      <c r="AB17" s="3">
        <v>1548299.9999999998</v>
      </c>
    </row>
    <row r="18" spans="1:28">
      <c r="A18" t="s">
        <v>22</v>
      </c>
      <c r="B18" s="2">
        <v>25.068846009741474</v>
      </c>
      <c r="C18" s="9">
        <v>25570.222929936303</v>
      </c>
      <c r="D18" s="9">
        <f t="shared" si="0"/>
        <v>1020</v>
      </c>
      <c r="E18" s="3">
        <v>106760</v>
      </c>
      <c r="F18" s="3">
        <v>0</v>
      </c>
      <c r="G18" s="3">
        <v>3040966.1616161619</v>
      </c>
      <c r="H18" s="9">
        <v>2894.9468085106382</v>
      </c>
      <c r="I18" s="9">
        <v>2894.9468085106382</v>
      </c>
      <c r="J18" s="9">
        <v>1093.7568359802249</v>
      </c>
      <c r="K18" s="2" t="s">
        <v>60</v>
      </c>
      <c r="L18" s="3">
        <v>250000</v>
      </c>
      <c r="M18" s="3">
        <v>0</v>
      </c>
      <c r="N18" s="3">
        <v>3040966.1616161619</v>
      </c>
      <c r="O18" s="3"/>
      <c r="P18" s="3">
        <f t="shared" si="1"/>
        <v>-1874.9468085106382</v>
      </c>
      <c r="Q18" s="3">
        <f t="shared" si="2"/>
        <v>1801.1899725304133</v>
      </c>
      <c r="R18" s="3"/>
      <c r="S18" s="9">
        <f t="shared" si="3"/>
        <v>-1801.1899725304133</v>
      </c>
      <c r="T18" s="2">
        <v>2894.9468085106382</v>
      </c>
      <c r="U18" s="9">
        <f t="shared" si="4"/>
        <v>-1874.9468085106382</v>
      </c>
      <c r="V18" s="3">
        <v>3411.3199999999997</v>
      </c>
      <c r="W18" s="3"/>
      <c r="X18">
        <f t="shared" si="5"/>
        <v>2729876999.9999995</v>
      </c>
      <c r="Y18" s="11">
        <f t="shared" si="6"/>
        <v>1055544393.402107</v>
      </c>
      <c r="AA18">
        <v>3037319.9999999995</v>
      </c>
      <c r="AB18" s="3">
        <v>2676350</v>
      </c>
    </row>
    <row r="19" spans="1:28">
      <c r="A19" t="s">
        <v>23</v>
      </c>
      <c r="B19" s="2">
        <v>26.078431372549019</v>
      </c>
      <c r="C19" s="9">
        <v>21209.588235294115</v>
      </c>
      <c r="D19" s="9">
        <f t="shared" si="0"/>
        <v>813.3</v>
      </c>
      <c r="E19" s="3">
        <v>15294.443923810417</v>
      </c>
      <c r="F19" s="3">
        <v>5.556076189583675</v>
      </c>
      <c r="G19" s="3">
        <v>429685.2662653033</v>
      </c>
      <c r="H19" s="9">
        <v>830.3406390282546</v>
      </c>
      <c r="I19" s="9">
        <v>830.3406390282546</v>
      </c>
      <c r="J19" s="9">
        <v>740.17601385609498</v>
      </c>
      <c r="K19" s="2" t="s">
        <v>60</v>
      </c>
      <c r="L19" s="3">
        <v>770000</v>
      </c>
      <c r="M19" s="3">
        <v>0</v>
      </c>
      <c r="N19" s="3">
        <v>429685.2662653033</v>
      </c>
      <c r="O19" s="3"/>
      <c r="P19" s="3">
        <f t="shared" si="1"/>
        <v>-17.040639028254645</v>
      </c>
      <c r="Q19" s="3">
        <f t="shared" si="2"/>
        <v>90.164625172159617</v>
      </c>
      <c r="R19" s="3"/>
      <c r="S19" s="9">
        <f t="shared" si="3"/>
        <v>-90.164625172159617</v>
      </c>
      <c r="T19" s="2">
        <v>830.3406390282546</v>
      </c>
      <c r="U19" s="9">
        <f t="shared" si="4"/>
        <v>-17.040639028254645</v>
      </c>
      <c r="V19" s="3">
        <v>451.09000000000003</v>
      </c>
      <c r="W19" s="3"/>
      <c r="X19">
        <f t="shared" si="5"/>
        <v>324388857.91181499</v>
      </c>
      <c r="Y19" s="11">
        <f t="shared" si="6"/>
        <v>25599534.769787729</v>
      </c>
      <c r="AA19">
        <v>429300</v>
      </c>
      <c r="AB19" s="3">
        <v>398855.10624838929</v>
      </c>
    </row>
    <row r="20" spans="1:28">
      <c r="A20" t="s">
        <v>24</v>
      </c>
      <c r="B20" s="2">
        <v>2.0833333333333335</v>
      </c>
      <c r="C20" s="9">
        <v>7140.4569892473128</v>
      </c>
      <c r="D20" s="9">
        <f t="shared" si="0"/>
        <v>3427.4193548387098</v>
      </c>
      <c r="E20" s="3">
        <v>1589.1246298004562</v>
      </c>
      <c r="F20" s="3">
        <v>810.87537019954357</v>
      </c>
      <c r="G20" s="3">
        <v>36665.983523147188</v>
      </c>
      <c r="H20" s="9">
        <v>4751.6518338727074</v>
      </c>
      <c r="I20" s="9">
        <v>4751.6518338727074</v>
      </c>
      <c r="J20" s="9">
        <v>4032.2580645161293</v>
      </c>
      <c r="K20" s="2" t="s">
        <v>60</v>
      </c>
      <c r="L20" s="3">
        <v>5730000</v>
      </c>
      <c r="M20" s="3">
        <v>0</v>
      </c>
      <c r="N20" s="3">
        <v>36665.983523147188</v>
      </c>
      <c r="O20" s="3"/>
      <c r="P20" s="3">
        <f t="shared" si="1"/>
        <v>-1324.2324790339976</v>
      </c>
      <c r="Q20" s="3">
        <f t="shared" si="2"/>
        <v>719.3937693565781</v>
      </c>
      <c r="R20" s="3"/>
      <c r="S20" s="9">
        <f t="shared" si="3"/>
        <v>-719.3937693565781</v>
      </c>
      <c r="T20" s="2">
        <v>4751.6518338727074</v>
      </c>
      <c r="U20" s="9">
        <f t="shared" si="4"/>
        <v>-1324.2324790339976</v>
      </c>
      <c r="V20" s="3">
        <v>34.909999999999997</v>
      </c>
      <c r="W20" s="3"/>
      <c r="X20">
        <f t="shared" si="5"/>
        <v>11347076.069643715</v>
      </c>
      <c r="Y20" s="11">
        <f t="shared" si="6"/>
        <v>158492806.67883462</v>
      </c>
      <c r="AA20">
        <v>34660</v>
      </c>
      <c r="AB20" s="3">
        <v>3310.6763120842838</v>
      </c>
    </row>
    <row r="21" spans="1:28">
      <c r="A21" t="s">
        <v>25</v>
      </c>
      <c r="B21" s="2">
        <v>2.5316455696202529</v>
      </c>
      <c r="C21" s="9">
        <v>2263.2065807331223</v>
      </c>
      <c r="D21" s="9">
        <f t="shared" si="0"/>
        <v>893.96659938958339</v>
      </c>
      <c r="E21" s="3">
        <v>7268.8359788359803</v>
      </c>
      <c r="F21" s="3">
        <v>24331.164021164022</v>
      </c>
      <c r="G21" s="3">
        <v>129921.4283555963</v>
      </c>
      <c r="H21" s="9">
        <v>1237.3240129959634</v>
      </c>
      <c r="I21" s="9">
        <v>1237.3240129959634</v>
      </c>
      <c r="J21" s="9">
        <v>1546.6550162449541</v>
      </c>
      <c r="K21" s="2" t="s">
        <v>59</v>
      </c>
      <c r="L21" s="3">
        <v>3390000</v>
      </c>
      <c r="M21" s="13">
        <v>25</v>
      </c>
      <c r="N21" s="3">
        <v>129921.4283555963</v>
      </c>
      <c r="O21" s="3"/>
      <c r="P21" s="3">
        <f t="shared" si="1"/>
        <v>-343.35741360637996</v>
      </c>
      <c r="Q21" s="3">
        <f t="shared" si="2"/>
        <v>-309.33100324899078</v>
      </c>
      <c r="R21" s="13"/>
      <c r="S21" s="9">
        <f t="shared" si="3"/>
        <v>309.33100324899078</v>
      </c>
      <c r="T21" s="2">
        <v>1237.3240129959634</v>
      </c>
      <c r="U21" s="9">
        <f t="shared" si="4"/>
        <v>-343.35741360637996</v>
      </c>
      <c r="V21" s="3">
        <v>97.82</v>
      </c>
      <c r="W21" s="3"/>
      <c r="X21">
        <f t="shared" si="5"/>
        <v>16450877.421571277</v>
      </c>
      <c r="Y21" s="11">
        <f t="shared" si="6"/>
        <v>137985522.59282845</v>
      </c>
      <c r="AA21">
        <v>97820</v>
      </c>
      <c r="AB21" s="3">
        <v>18402.116402116404</v>
      </c>
    </row>
    <row r="22" spans="1:28">
      <c r="A22" t="s">
        <v>27</v>
      </c>
      <c r="B22" s="2">
        <v>35.237410071942449</v>
      </c>
      <c r="C22" s="9">
        <v>44540.086330935257</v>
      </c>
      <c r="D22" s="9">
        <f t="shared" si="0"/>
        <v>1264</v>
      </c>
      <c r="E22" s="3">
        <v>13703.134462955053</v>
      </c>
      <c r="F22" s="3">
        <v>196.86553704494753</v>
      </c>
      <c r="G22" s="3">
        <v>705323.8941978775</v>
      </c>
      <c r="H22" s="9">
        <v>1473.9238310890564</v>
      </c>
      <c r="I22" s="9">
        <v>1473.9238310890564</v>
      </c>
      <c r="J22" s="9">
        <v>1292.2679302175318</v>
      </c>
      <c r="K22" s="2" t="s">
        <v>60</v>
      </c>
      <c r="L22" s="3">
        <v>180000</v>
      </c>
      <c r="M22" s="3">
        <v>0</v>
      </c>
      <c r="N22" s="3">
        <v>705323.8941978775</v>
      </c>
      <c r="O22" s="3"/>
      <c r="P22" s="3">
        <f t="shared" si="1"/>
        <v>-209.92383108905642</v>
      </c>
      <c r="Q22" s="3">
        <f t="shared" si="2"/>
        <v>181.65590087152464</v>
      </c>
      <c r="R22" s="3"/>
      <c r="S22" s="9">
        <f t="shared" si="3"/>
        <v>-181.65590087152464</v>
      </c>
      <c r="T22" s="2">
        <v>1473.9238310890564</v>
      </c>
      <c r="U22" s="9">
        <f t="shared" si="4"/>
        <v>-209.92383108905642</v>
      </c>
      <c r="V22" s="3">
        <v>703.07</v>
      </c>
      <c r="W22" s="3"/>
      <c r="X22">
        <f t="shared" si="5"/>
        <v>610338791.98443222</v>
      </c>
      <c r="Y22" s="11">
        <f t="shared" si="6"/>
        <v>327890460.10494536</v>
      </c>
      <c r="AA22">
        <v>697370</v>
      </c>
      <c r="AB22" s="3">
        <v>482862.96834211407</v>
      </c>
    </row>
    <row r="23" spans="1:28">
      <c r="A23" t="s">
        <v>28</v>
      </c>
      <c r="B23" s="2">
        <v>21.324137931034482</v>
      </c>
      <c r="C23" s="9">
        <v>10747.365517241378</v>
      </c>
      <c r="D23" s="9">
        <f t="shared" si="0"/>
        <v>504</v>
      </c>
      <c r="E23" s="3">
        <v>8666.6582672297645</v>
      </c>
      <c r="F23" s="3">
        <v>5833.3417327702346</v>
      </c>
      <c r="G23" s="3">
        <v>452847.45829136577</v>
      </c>
      <c r="H23" s="9">
        <v>2013</v>
      </c>
      <c r="I23" s="9">
        <v>2013</v>
      </c>
      <c r="J23" s="9">
        <v>936.75247988491333</v>
      </c>
      <c r="K23" s="2" t="s">
        <v>60</v>
      </c>
      <c r="L23" s="3">
        <v>300000</v>
      </c>
      <c r="M23" s="3">
        <v>0</v>
      </c>
      <c r="N23" s="3">
        <v>452847.45829136577</v>
      </c>
      <c r="O23" s="3"/>
      <c r="P23" s="3">
        <f t="shared" si="1"/>
        <v>-1509</v>
      </c>
      <c r="Q23" s="3">
        <f t="shared" si="2"/>
        <v>1076.2475201150867</v>
      </c>
      <c r="R23" s="3"/>
      <c r="S23" s="9">
        <f t="shared" si="3"/>
        <v>-1076.2475201150867</v>
      </c>
      <c r="T23" s="2">
        <v>2013</v>
      </c>
      <c r="U23" s="9">
        <f t="shared" si="4"/>
        <v>-1509</v>
      </c>
      <c r="V23" s="3">
        <v>400.02</v>
      </c>
      <c r="W23" s="3"/>
      <c r="X23">
        <f t="shared" si="5"/>
        <v>93143744.210940078</v>
      </c>
      <c r="Y23" s="11">
        <f t="shared" si="6"/>
        <v>539561383.7456336</v>
      </c>
      <c r="AA23">
        <v>327020</v>
      </c>
      <c r="AB23" s="3">
        <v>184809.0162915478</v>
      </c>
    </row>
    <row r="24" spans="1:28">
      <c r="A24" t="s">
        <v>29</v>
      </c>
      <c r="B24" s="2">
        <v>6.1318181818181818</v>
      </c>
      <c r="C24" s="9">
        <v>2281.0363636363636</v>
      </c>
      <c r="D24" s="9">
        <f t="shared" si="0"/>
        <v>372</v>
      </c>
      <c r="E24" s="3">
        <v>207627.47885206636</v>
      </c>
      <c r="F24" s="3">
        <v>12372.521147933654</v>
      </c>
      <c r="G24" s="3">
        <v>3019989.2015596158</v>
      </c>
      <c r="H24" s="9">
        <v>928.45338235567192</v>
      </c>
      <c r="I24" s="9">
        <v>928.45338235567192</v>
      </c>
      <c r="J24" s="9">
        <v>1257.8616352201259</v>
      </c>
      <c r="K24" s="2" t="s">
        <v>60</v>
      </c>
      <c r="L24" s="3">
        <v>3400000</v>
      </c>
      <c r="M24" s="3">
        <v>0</v>
      </c>
      <c r="N24" s="3">
        <v>3019989.2015596158</v>
      </c>
      <c r="O24" s="3"/>
      <c r="P24" s="3">
        <f t="shared" si="1"/>
        <v>-556.45338235567192</v>
      </c>
      <c r="Q24" s="3">
        <f t="shared" si="2"/>
        <v>-329.40825286445397</v>
      </c>
      <c r="R24" s="3"/>
      <c r="S24" s="9">
        <f t="shared" si="3"/>
        <v>329.40825286445397</v>
      </c>
      <c r="T24" s="2">
        <v>928.45338235567192</v>
      </c>
      <c r="U24" s="9">
        <f t="shared" si="4"/>
        <v>-556.45338235567192</v>
      </c>
      <c r="V24" s="3">
        <v>2970.93</v>
      </c>
      <c r="W24" s="3"/>
      <c r="X24">
        <f t="shared" si="5"/>
        <v>473605829.35170341</v>
      </c>
      <c r="Y24" s="11">
        <f t="shared" si="6"/>
        <v>1621873666.9168339</v>
      </c>
      <c r="AA24">
        <v>2968540</v>
      </c>
      <c r="AB24" s="3">
        <v>1273133.9498701706</v>
      </c>
    </row>
    <row r="26" spans="1:28">
      <c r="E26" s="3">
        <f>E2+F2</f>
        <v>160360</v>
      </c>
    </row>
    <row r="27" spans="1:28">
      <c r="E27" s="3">
        <f t="shared" ref="E27:E48" si="7">E3+F3</f>
        <v>2000</v>
      </c>
    </row>
    <row r="28" spans="1:28">
      <c r="E28" s="3">
        <f t="shared" si="7"/>
        <v>3200</v>
      </c>
    </row>
    <row r="29" spans="1:28">
      <c r="E29" s="3">
        <f t="shared" si="7"/>
        <v>14200</v>
      </c>
    </row>
    <row r="30" spans="1:28">
      <c r="E30" s="3">
        <f t="shared" si="7"/>
        <v>5300</v>
      </c>
    </row>
    <row r="31" spans="1:28">
      <c r="E31" s="3">
        <f t="shared" si="7"/>
        <v>171990</v>
      </c>
    </row>
    <row r="32" spans="1:28">
      <c r="E32" s="3">
        <f t="shared" si="7"/>
        <v>2700</v>
      </c>
    </row>
    <row r="33" spans="5:5">
      <c r="E33" s="3">
        <f t="shared" si="7"/>
        <v>3500</v>
      </c>
    </row>
    <row r="34" spans="5:5">
      <c r="E34" s="3">
        <f t="shared" si="7"/>
        <v>11500</v>
      </c>
    </row>
    <row r="35" spans="5:5">
      <c r="E35" s="3">
        <f t="shared" si="7"/>
        <v>15000</v>
      </c>
    </row>
    <row r="36" spans="5:5">
      <c r="E36" s="3">
        <f t="shared" si="7"/>
        <v>15000</v>
      </c>
    </row>
    <row r="37" spans="5:5">
      <c r="E37" s="3">
        <f t="shared" si="7"/>
        <v>10610</v>
      </c>
    </row>
    <row r="38" spans="5:5">
      <c r="E38" s="3">
        <f t="shared" si="7"/>
        <v>15800.000000000002</v>
      </c>
    </row>
    <row r="39" spans="5:5">
      <c r="E39" s="3">
        <f t="shared" si="7"/>
        <v>4200</v>
      </c>
    </row>
    <row r="40" spans="5:5">
      <c r="E40" s="3">
        <f t="shared" si="7"/>
        <v>286900</v>
      </c>
    </row>
    <row r="41" spans="5:5">
      <c r="E41" s="3">
        <f t="shared" si="7"/>
        <v>239150</v>
      </c>
    </row>
    <row r="42" spans="5:5">
      <c r="E42" s="3">
        <f t="shared" si="7"/>
        <v>106760</v>
      </c>
    </row>
    <row r="43" spans="5:5">
      <c r="E43" s="3">
        <f t="shared" si="7"/>
        <v>15300</v>
      </c>
    </row>
    <row r="44" spans="5:5">
      <c r="E44" s="3">
        <f t="shared" si="7"/>
        <v>2400</v>
      </c>
    </row>
    <row r="45" spans="5:5">
      <c r="E45" s="3">
        <f t="shared" si="7"/>
        <v>31600.000000000004</v>
      </c>
    </row>
    <row r="46" spans="5:5">
      <c r="E46" s="3">
        <f t="shared" si="7"/>
        <v>13900</v>
      </c>
    </row>
    <row r="47" spans="5:5">
      <c r="E47" s="3">
        <f t="shared" si="7"/>
        <v>14500</v>
      </c>
    </row>
    <row r="48" spans="5:5">
      <c r="E48" s="3">
        <f t="shared" si="7"/>
        <v>220000</v>
      </c>
    </row>
    <row r="49" spans="5:5">
      <c r="E49" s="3"/>
    </row>
    <row r="50" spans="5:5">
      <c r="E50" s="3"/>
    </row>
    <row r="51" spans="5:5">
      <c r="E51" s="3"/>
    </row>
    <row r="52" spans="5:5">
      <c r="E52" s="3"/>
    </row>
    <row r="53" spans="5:5">
      <c r="E53" s="3"/>
    </row>
    <row r="54" spans="5:5">
      <c r="E54" s="3"/>
    </row>
    <row r="55" spans="5:5">
      <c r="E55" s="3"/>
    </row>
    <row r="56" spans="5:5">
      <c r="E56" s="3"/>
    </row>
    <row r="57" spans="5:5">
      <c r="E57" s="3"/>
    </row>
    <row r="58" spans="5:5">
      <c r="E58" s="3"/>
    </row>
    <row r="59" spans="5:5">
      <c r="E59" s="3"/>
    </row>
    <row r="60" spans="5:5">
      <c r="E60" s="3"/>
    </row>
    <row r="61" spans="5:5">
      <c r="E61" s="3"/>
    </row>
    <row r="62" spans="5:5">
      <c r="E62" s="3"/>
    </row>
    <row r="63" spans="5:5">
      <c r="E63" s="3"/>
    </row>
    <row r="64" spans="5:5">
      <c r="E64" s="3"/>
    </row>
    <row r="65" spans="5:5">
      <c r="E65" s="3"/>
    </row>
  </sheetData>
  <conditionalFormatting sqref="Q2:Q24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29147-63FE-4CB1-BA53-257DDFCA2279}">
  <dimension ref="A1:AP65"/>
  <sheetViews>
    <sheetView workbookViewId="0"/>
  </sheetViews>
  <sheetFormatPr defaultRowHeight="14.4"/>
  <cols>
    <col min="1" max="1" width="17.7890625" customWidth="1"/>
    <col min="2" max="2" width="13.734375" customWidth="1"/>
    <col min="3" max="3" width="13.734375" bestFit="1" customWidth="1"/>
    <col min="4" max="4" width="10.20703125" bestFit="1" customWidth="1"/>
    <col min="5" max="5" width="10.3125" bestFit="1" customWidth="1"/>
    <col min="6" max="6" width="17.3125" customWidth="1"/>
    <col min="7" max="7" width="15.26171875" customWidth="1"/>
    <col min="8" max="8" width="16.62890625" customWidth="1"/>
    <col min="9" max="9" width="15.89453125" customWidth="1"/>
    <col min="13" max="13" width="21" bestFit="1" customWidth="1"/>
    <col min="14" max="14" width="11.734375" customWidth="1"/>
    <col min="15" max="15" width="12.20703125" customWidth="1"/>
    <col min="16" max="16" width="12.05078125" customWidth="1"/>
    <col min="17" max="17" width="10.20703125" bestFit="1" customWidth="1"/>
    <col min="18" max="18" width="10.3125" bestFit="1" customWidth="1"/>
    <col min="19" max="19" width="17.3125" customWidth="1"/>
    <col min="20" max="20" width="15.26171875" customWidth="1"/>
    <col min="21" max="21" width="13.3125" bestFit="1" customWidth="1"/>
    <col min="22" max="22" width="13.9453125" bestFit="1" customWidth="1"/>
    <col min="23" max="24" width="11.05078125" customWidth="1"/>
    <col min="25" max="27" width="13.9453125" customWidth="1"/>
    <col min="28" max="28" width="16.89453125" bestFit="1" customWidth="1"/>
    <col min="29" max="31" width="13.9453125" customWidth="1"/>
    <col min="32" max="32" width="6.62890625" customWidth="1"/>
    <col min="33" max="34" width="13.9453125" customWidth="1"/>
    <col min="35" max="35" width="15.26171875" customWidth="1"/>
    <col min="36" max="37" width="16.62890625" customWidth="1"/>
    <col min="38" max="38" width="10.68359375" bestFit="1" customWidth="1"/>
    <col min="39" max="39" width="18.05078125" bestFit="1" customWidth="1"/>
    <col min="41" max="41" width="17.3125" customWidth="1"/>
  </cols>
  <sheetData>
    <row r="1" spans="1:42">
      <c r="A1" t="s">
        <v>0</v>
      </c>
      <c r="B1" t="s">
        <v>1</v>
      </c>
      <c r="C1" t="s">
        <v>52</v>
      </c>
      <c r="D1" t="s">
        <v>45</v>
      </c>
      <c r="E1" t="s">
        <v>46</v>
      </c>
      <c r="F1" t="s">
        <v>50</v>
      </c>
      <c r="G1" t="s">
        <v>51</v>
      </c>
      <c r="H1" t="s">
        <v>30</v>
      </c>
      <c r="I1" t="s">
        <v>31</v>
      </c>
      <c r="M1" t="s">
        <v>0</v>
      </c>
      <c r="N1" t="s">
        <v>1</v>
      </c>
      <c r="O1" t="s">
        <v>52</v>
      </c>
      <c r="P1" t="s">
        <v>54</v>
      </c>
      <c r="Q1" t="s">
        <v>45</v>
      </c>
      <c r="R1" t="s">
        <v>46</v>
      </c>
      <c r="S1" t="s">
        <v>50</v>
      </c>
      <c r="T1" t="s">
        <v>53</v>
      </c>
      <c r="U1" t="s">
        <v>55</v>
      </c>
      <c r="V1" t="s">
        <v>56</v>
      </c>
      <c r="W1" t="s">
        <v>58</v>
      </c>
      <c r="X1" t="s">
        <v>61</v>
      </c>
      <c r="Y1" t="s">
        <v>64</v>
      </c>
      <c r="Z1" t="s">
        <v>65</v>
      </c>
      <c r="AB1" t="s">
        <v>78</v>
      </c>
      <c r="AC1" t="s">
        <v>79</v>
      </c>
      <c r="AD1" t="s">
        <v>66</v>
      </c>
      <c r="AE1" t="s">
        <v>67</v>
      </c>
      <c r="AH1" t="s">
        <v>57</v>
      </c>
      <c r="AJ1" t="s">
        <v>30</v>
      </c>
      <c r="AO1" t="s">
        <v>50</v>
      </c>
    </row>
    <row r="2" spans="1:42">
      <c r="A2" s="1" t="s">
        <v>6</v>
      </c>
      <c r="B2" s="2">
        <v>16.760000000000002</v>
      </c>
      <c r="C2" s="3">
        <v>16860.560000000001</v>
      </c>
      <c r="D2" s="3">
        <v>160360</v>
      </c>
      <c r="E2" s="3">
        <v>0</v>
      </c>
      <c r="F2" s="2">
        <v>2687.6336000000006</v>
      </c>
      <c r="G2" s="9">
        <v>1082.4947155592317</v>
      </c>
      <c r="H2" s="3">
        <v>3493.6336000000006</v>
      </c>
      <c r="I2" s="3">
        <v>7925.2466490272382</v>
      </c>
      <c r="K2">
        <f>F2/B2</f>
        <v>160.36000000000001</v>
      </c>
      <c r="M2" t="s">
        <v>77</v>
      </c>
      <c r="N2" s="2">
        <v>16.760000000000002</v>
      </c>
      <c r="O2" s="9">
        <v>16860.560000000001</v>
      </c>
      <c r="P2" s="9">
        <f t="shared" ref="P2:P24" si="0">O2/N2</f>
        <v>1006</v>
      </c>
      <c r="Q2" s="3">
        <v>160360</v>
      </c>
      <c r="R2" s="3">
        <v>0</v>
      </c>
      <c r="S2" s="3">
        <v>3501775.0141414148</v>
      </c>
      <c r="T2" s="9">
        <v>1082.4947155592317</v>
      </c>
      <c r="U2" s="9">
        <v>1082.4947155592317</v>
      </c>
      <c r="V2" s="9">
        <v>1044.2473577796159</v>
      </c>
      <c r="W2" s="2" t="s">
        <v>59</v>
      </c>
      <c r="X2" s="3">
        <v>320000</v>
      </c>
      <c r="Y2" s="13">
        <v>25</v>
      </c>
      <c r="Z2" s="3">
        <v>3501775.0141414148</v>
      </c>
      <c r="AA2" s="3"/>
      <c r="AB2" s="3">
        <f>IF(W2="Feed",0,X2*Z2)</f>
        <v>0</v>
      </c>
      <c r="AC2" s="3">
        <f>IF(W2="Food",0,Y2*Z2)</f>
        <v>87544375.353535369</v>
      </c>
      <c r="AD2" s="3">
        <f t="shared" ref="AD2:AD24" si="1">P2-U2</f>
        <v>-76.494715559231736</v>
      </c>
      <c r="AE2" s="3">
        <f t="shared" ref="AE2:AE24" si="2">T2-V2</f>
        <v>38.247357779615868</v>
      </c>
      <c r="AF2" s="13"/>
      <c r="AG2" s="9">
        <f t="shared" ref="AG2:AG24" si="3">V2-T2</f>
        <v>-38.247357779615868</v>
      </c>
      <c r="AH2" s="2">
        <v>1082.4947155592317</v>
      </c>
      <c r="AI2" s="9">
        <f t="shared" ref="AI2:AI11" si="4">P2-U2</f>
        <v>-76.494715559231736</v>
      </c>
      <c r="AJ2" s="3">
        <v>3493.6336000000006</v>
      </c>
      <c r="AK2" s="3"/>
      <c r="AL2">
        <f t="shared" ref="AL2:AL11" si="5">O2*Q2</f>
        <v>2703759401.6000004</v>
      </c>
      <c r="AM2" s="11">
        <f t="shared" ref="AM2:AM11" si="6">(S2-N2*Q2)*T2</f>
        <v>881303778.52600133</v>
      </c>
      <c r="AO2">
        <v>3493633.6000000006</v>
      </c>
      <c r="AP2" s="3">
        <v>2687633.6</v>
      </c>
    </row>
    <row r="3" spans="1:42">
      <c r="A3" t="s">
        <v>7</v>
      </c>
      <c r="B3" s="2">
        <v>8</v>
      </c>
      <c r="C3" s="3">
        <v>4684.1962591488209</v>
      </c>
      <c r="D3" s="3">
        <v>1978.3994201398696</v>
      </c>
      <c r="E3" s="3">
        <v>21.60057986013047</v>
      </c>
      <c r="F3" s="2">
        <v>16</v>
      </c>
      <c r="G3" s="9">
        <v>997.68035847668227</v>
      </c>
      <c r="H3" s="3">
        <v>7241.17</v>
      </c>
      <c r="I3" s="3">
        <v>16403.06385214008</v>
      </c>
      <c r="M3" t="s">
        <v>7</v>
      </c>
      <c r="N3" s="2">
        <v>8</v>
      </c>
      <c r="O3" s="9">
        <v>4684.1962591488209</v>
      </c>
      <c r="P3" s="9">
        <f t="shared" si="0"/>
        <v>585.52453239360261</v>
      </c>
      <c r="Q3" s="3">
        <v>1978.3994201398696</v>
      </c>
      <c r="R3" s="3">
        <v>21.60057986013047</v>
      </c>
      <c r="S3" s="3">
        <v>7295613.0925093088</v>
      </c>
      <c r="T3" s="9">
        <v>997.68035847668227</v>
      </c>
      <c r="U3" s="9">
        <v>997.68035847668227</v>
      </c>
      <c r="V3" s="9">
        <v>650.58281377066953</v>
      </c>
      <c r="W3" s="2" t="s">
        <v>59</v>
      </c>
      <c r="X3" s="3">
        <v>3340000</v>
      </c>
      <c r="Y3" s="13">
        <v>25</v>
      </c>
      <c r="Z3" s="3">
        <v>7295613.0925093088</v>
      </c>
      <c r="AA3" s="3"/>
      <c r="AB3" s="3">
        <f t="shared" ref="AB3:AB24" si="7">IF(W3="Feed",0,X3*Z3)</f>
        <v>0</v>
      </c>
      <c r="AC3" s="3">
        <f t="shared" ref="AC3:AC24" si="8">IF(W3="Food",0,Y3*Z3)</f>
        <v>182390327.31273273</v>
      </c>
      <c r="AD3" s="3">
        <f t="shared" si="1"/>
        <v>-412.15582608307966</v>
      </c>
      <c r="AE3" s="3">
        <f t="shared" si="2"/>
        <v>347.09754470601274</v>
      </c>
      <c r="AF3" s="13"/>
      <c r="AG3" s="9">
        <f t="shared" si="3"/>
        <v>-347.09754470601274</v>
      </c>
      <c r="AH3" s="2">
        <v>997.68035847668227</v>
      </c>
      <c r="AI3" s="9">
        <f t="shared" si="4"/>
        <v>-412.15582608307966</v>
      </c>
      <c r="AJ3" s="3">
        <v>7241.17</v>
      </c>
      <c r="AK3" s="3"/>
      <c r="AL3">
        <f t="shared" si="5"/>
        <v>9267211.1629213728</v>
      </c>
      <c r="AM3" s="11">
        <f t="shared" si="6"/>
        <v>7262899403.5003023</v>
      </c>
      <c r="AO3">
        <v>7222720</v>
      </c>
      <c r="AP3" s="3">
        <v>15827.195361118956</v>
      </c>
    </row>
    <row r="4" spans="1:42">
      <c r="A4" t="s">
        <v>8</v>
      </c>
      <c r="B4" s="2">
        <v>14.75</v>
      </c>
      <c r="C4" s="3">
        <v>14868</v>
      </c>
      <c r="D4" s="3">
        <v>3200</v>
      </c>
      <c r="E4" s="3">
        <v>0</v>
      </c>
      <c r="F4" s="2">
        <v>47.2</v>
      </c>
      <c r="G4" s="9">
        <v>1474.2602727019757</v>
      </c>
      <c r="H4" s="3">
        <v>47.2</v>
      </c>
      <c r="I4" s="3">
        <v>107.07237354085603</v>
      </c>
      <c r="M4" t="s">
        <v>8</v>
      </c>
      <c r="N4" s="2">
        <v>14.75</v>
      </c>
      <c r="O4" s="9">
        <v>14868</v>
      </c>
      <c r="P4" s="9">
        <f t="shared" si="0"/>
        <v>1008</v>
      </c>
      <c r="Q4" s="3">
        <v>3200</v>
      </c>
      <c r="R4" s="3">
        <v>0</v>
      </c>
      <c r="S4" s="3">
        <v>47200.000000000007</v>
      </c>
      <c r="T4" s="9">
        <v>1474.2602727019757</v>
      </c>
      <c r="U4" s="9">
        <v>1474.2602727019757</v>
      </c>
      <c r="V4" s="9">
        <v>1259.8425196850394</v>
      </c>
      <c r="W4" s="2" t="s">
        <v>60</v>
      </c>
      <c r="X4" s="3">
        <v>410000</v>
      </c>
      <c r="Y4" s="3">
        <v>0</v>
      </c>
      <c r="Z4" s="3">
        <v>47200.000000000007</v>
      </c>
      <c r="AA4" s="3"/>
      <c r="AB4" s="3">
        <f t="shared" si="7"/>
        <v>19352000000.000004</v>
      </c>
      <c r="AC4" s="3">
        <f t="shared" si="8"/>
        <v>0</v>
      </c>
      <c r="AD4" s="3">
        <f t="shared" si="1"/>
        <v>-466.26027270197574</v>
      </c>
      <c r="AE4" s="3">
        <f t="shared" si="2"/>
        <v>214.41775301693633</v>
      </c>
      <c r="AF4" s="3"/>
      <c r="AG4" s="9">
        <f t="shared" si="3"/>
        <v>-214.41775301693633</v>
      </c>
      <c r="AH4" s="2">
        <v>1474.2602727019757</v>
      </c>
      <c r="AI4" s="9">
        <f t="shared" si="4"/>
        <v>-466.26027270197574</v>
      </c>
      <c r="AJ4" s="3">
        <v>47.2</v>
      </c>
      <c r="AK4" s="3"/>
      <c r="AL4">
        <f t="shared" si="5"/>
        <v>47577600</v>
      </c>
      <c r="AM4" s="11">
        <f t="shared" si="6"/>
        <v>1.0726655256454074E-8</v>
      </c>
      <c r="AO4">
        <v>47200</v>
      </c>
      <c r="AP4" s="3">
        <v>47200</v>
      </c>
    </row>
    <row r="5" spans="1:42">
      <c r="A5" t="s">
        <v>9</v>
      </c>
      <c r="B5" s="2">
        <v>7.415492957746479</v>
      </c>
      <c r="C5" s="3">
        <v>22246.478873239437</v>
      </c>
      <c r="D5" s="3">
        <v>14200</v>
      </c>
      <c r="E5" s="3">
        <v>0</v>
      </c>
      <c r="F5" s="2">
        <v>105.3</v>
      </c>
      <c r="G5" s="9">
        <v>3208.3980532256396</v>
      </c>
      <c r="H5" s="3">
        <v>105.3</v>
      </c>
      <c r="I5" s="3">
        <v>238.87120622568091</v>
      </c>
      <c r="M5" t="s">
        <v>9</v>
      </c>
      <c r="N5" s="2">
        <v>7.415492957746479</v>
      </c>
      <c r="O5" s="9">
        <v>22246.478873239437</v>
      </c>
      <c r="P5" s="9">
        <f t="shared" si="0"/>
        <v>3000</v>
      </c>
      <c r="Q5" s="3">
        <v>14200</v>
      </c>
      <c r="R5" s="3">
        <v>0</v>
      </c>
      <c r="S5" s="3">
        <v>105299.99999999999</v>
      </c>
      <c r="T5" s="9">
        <v>3208.3980532256396</v>
      </c>
      <c r="U5" s="9">
        <v>3208.3980532256396</v>
      </c>
      <c r="V5" s="9">
        <v>3886.2980235398622</v>
      </c>
      <c r="W5" s="2" t="s">
        <v>60</v>
      </c>
      <c r="X5" s="3">
        <v>450000</v>
      </c>
      <c r="Y5" s="3">
        <v>0</v>
      </c>
      <c r="Z5" s="3">
        <v>105299.99999999999</v>
      </c>
      <c r="AA5" s="3"/>
      <c r="AB5" s="3">
        <f t="shared" si="7"/>
        <v>47384999999.999992</v>
      </c>
      <c r="AC5" s="3">
        <f t="shared" si="8"/>
        <v>0</v>
      </c>
      <c r="AD5" s="3">
        <f t="shared" si="1"/>
        <v>-208.39805322563961</v>
      </c>
      <c r="AE5" s="3">
        <f t="shared" si="2"/>
        <v>-677.89997031422263</v>
      </c>
      <c r="AF5" s="3"/>
      <c r="AG5" s="9">
        <f t="shared" si="3"/>
        <v>677.89997031422263</v>
      </c>
      <c r="AH5" s="2">
        <v>3208.3980532256396</v>
      </c>
      <c r="AI5" s="9">
        <f t="shared" si="4"/>
        <v>-208.39805322563961</v>
      </c>
      <c r="AJ5" s="3">
        <v>105.3</v>
      </c>
      <c r="AK5" s="3"/>
      <c r="AL5">
        <f t="shared" si="5"/>
        <v>315900000</v>
      </c>
      <c r="AM5" s="11">
        <f t="shared" si="6"/>
        <v>-4.6688336489396746E-8</v>
      </c>
      <c r="AO5">
        <v>105300</v>
      </c>
      <c r="AP5" s="3">
        <v>105300</v>
      </c>
    </row>
    <row r="6" spans="1:42">
      <c r="A6" t="s">
        <v>10</v>
      </c>
      <c r="B6" s="2">
        <v>71.79245283018868</v>
      </c>
      <c r="C6" s="3">
        <v>80981.886792452831</v>
      </c>
      <c r="D6" s="3">
        <v>5240.6502968159739</v>
      </c>
      <c r="E6" s="3">
        <v>59.349703184025906</v>
      </c>
      <c r="F6" s="2">
        <v>380.5</v>
      </c>
      <c r="G6" s="9">
        <v>1176.7450980392157</v>
      </c>
      <c r="H6" s="3">
        <v>390.2</v>
      </c>
      <c r="I6" s="3">
        <v>877.93151750972766</v>
      </c>
      <c r="M6" t="s">
        <v>75</v>
      </c>
      <c r="N6" s="2">
        <v>71.79245283018868</v>
      </c>
      <c r="O6" s="9">
        <v>80981.886792452831</v>
      </c>
      <c r="P6" s="9">
        <f t="shared" si="0"/>
        <v>1128</v>
      </c>
      <c r="Q6" s="3">
        <v>5240.6502968159739</v>
      </c>
      <c r="R6" s="3">
        <v>59.349703184025906</v>
      </c>
      <c r="S6" s="3">
        <v>386969.35543461895</v>
      </c>
      <c r="T6" s="9">
        <v>1176.7450980392157</v>
      </c>
      <c r="U6" s="9">
        <v>1176.7450980392157</v>
      </c>
      <c r="V6" s="9">
        <v>1225.4901960784314</v>
      </c>
      <c r="W6" s="2" t="s">
        <v>60</v>
      </c>
      <c r="X6" s="3">
        <v>150000</v>
      </c>
      <c r="Y6" s="3">
        <v>0</v>
      </c>
      <c r="Z6" s="3">
        <v>386969.35543461895</v>
      </c>
      <c r="AA6" s="3"/>
      <c r="AB6" s="3">
        <f t="shared" si="7"/>
        <v>58045403315.192841</v>
      </c>
      <c r="AC6" s="3">
        <f t="shared" si="8"/>
        <v>0</v>
      </c>
      <c r="AD6" s="3">
        <f t="shared" si="1"/>
        <v>-48.745098039215691</v>
      </c>
      <c r="AE6" s="3">
        <f t="shared" si="2"/>
        <v>-48.745098039215691</v>
      </c>
      <c r="AF6" s="3"/>
      <c r="AG6" s="9">
        <f t="shared" si="3"/>
        <v>48.745098039215691</v>
      </c>
      <c r="AH6" s="2">
        <v>1176.7450980392157</v>
      </c>
      <c r="AI6" s="9">
        <f t="shared" si="4"/>
        <v>-48.745098039215691</v>
      </c>
      <c r="AJ6" s="3">
        <v>390.2</v>
      </c>
      <c r="AK6" s="3"/>
      <c r="AL6">
        <f t="shared" si="5"/>
        <v>424397749.0555855</v>
      </c>
      <c r="AM6" s="11">
        <f t="shared" si="6"/>
        <v>12626729.315361666</v>
      </c>
      <c r="AO6">
        <v>384500</v>
      </c>
      <c r="AP6" s="3">
        <v>376239.13923367509</v>
      </c>
    </row>
    <row r="7" spans="1:42">
      <c r="A7" t="s">
        <v>11</v>
      </c>
      <c r="B7" s="2">
        <v>5.764870050584336</v>
      </c>
      <c r="C7" s="3">
        <v>19600.558171986744</v>
      </c>
      <c r="D7" s="3">
        <v>171990</v>
      </c>
      <c r="E7" s="3">
        <v>0</v>
      </c>
      <c r="F7" s="2">
        <v>991.5</v>
      </c>
      <c r="G7" s="9">
        <v>3546.5326220763236</v>
      </c>
      <c r="H7" s="3">
        <v>1068.95</v>
      </c>
      <c r="I7" s="3">
        <v>2331.7877431906613</v>
      </c>
      <c r="M7" t="s">
        <v>11</v>
      </c>
      <c r="N7" s="2">
        <v>5.764870050584336</v>
      </c>
      <c r="O7" s="9">
        <v>19600.558171986744</v>
      </c>
      <c r="P7" s="9">
        <f t="shared" si="0"/>
        <v>3400.0000000000005</v>
      </c>
      <c r="Q7" s="3">
        <v>171990</v>
      </c>
      <c r="R7" s="3">
        <v>0</v>
      </c>
      <c r="S7" s="3">
        <v>995590.90909090918</v>
      </c>
      <c r="T7" s="9">
        <v>3546.5326220763236</v>
      </c>
      <c r="U7" s="9">
        <v>3546.5326220763236</v>
      </c>
      <c r="V7" s="9">
        <v>3693.0652441526468</v>
      </c>
      <c r="W7" s="2" t="s">
        <v>60</v>
      </c>
      <c r="X7" s="3">
        <v>2820000</v>
      </c>
      <c r="Y7" s="3">
        <v>0</v>
      </c>
      <c r="Z7" s="3">
        <v>995590.90909090918</v>
      </c>
      <c r="AA7" s="3"/>
      <c r="AB7" s="3">
        <f t="shared" si="7"/>
        <v>2807566363636.3638</v>
      </c>
      <c r="AC7" s="3">
        <f t="shared" si="8"/>
        <v>0</v>
      </c>
      <c r="AD7" s="3">
        <f t="shared" si="1"/>
        <v>-146.53262207632315</v>
      </c>
      <c r="AE7" s="3">
        <f t="shared" si="2"/>
        <v>-146.53262207632315</v>
      </c>
      <c r="AF7" s="3"/>
      <c r="AG7" s="9">
        <f t="shared" si="3"/>
        <v>146.53262207632315</v>
      </c>
      <c r="AH7" s="2">
        <v>3546.5326220763236</v>
      </c>
      <c r="AI7" s="9">
        <f t="shared" si="4"/>
        <v>-146.53262207632315</v>
      </c>
      <c r="AJ7" s="3">
        <v>1068.95</v>
      </c>
      <c r="AK7" s="3"/>
      <c r="AL7">
        <f t="shared" si="5"/>
        <v>3371100000</v>
      </c>
      <c r="AM7" s="11">
        <f t="shared" si="6"/>
        <v>14508542.544857988</v>
      </c>
      <c r="AO7">
        <v>995550</v>
      </c>
      <c r="AP7" s="3">
        <v>991500</v>
      </c>
    </row>
    <row r="8" spans="1:42">
      <c r="A8" t="s">
        <v>12</v>
      </c>
      <c r="B8" s="2">
        <v>25.888888888888889</v>
      </c>
      <c r="C8" s="3">
        <v>19538.344444444447</v>
      </c>
      <c r="D8" s="3">
        <v>2700</v>
      </c>
      <c r="E8" s="3">
        <v>0</v>
      </c>
      <c r="F8" s="2">
        <v>69.900000000000006</v>
      </c>
      <c r="G8" s="9">
        <v>1507.1379088916233</v>
      </c>
      <c r="H8" s="3">
        <v>463.92999999999995</v>
      </c>
      <c r="I8" s="3">
        <v>961.08634241245124</v>
      </c>
      <c r="M8" t="s">
        <v>72</v>
      </c>
      <c r="N8" s="2">
        <v>25.888888888888889</v>
      </c>
      <c r="O8" s="9">
        <v>19538.344444444447</v>
      </c>
      <c r="P8" s="9">
        <f t="shared" si="0"/>
        <v>754.7</v>
      </c>
      <c r="Q8" s="3">
        <v>2700</v>
      </c>
      <c r="R8" s="3">
        <v>0</v>
      </c>
      <c r="S8" s="3">
        <v>395182.82828282821</v>
      </c>
      <c r="T8" s="9">
        <v>1507.1379088916233</v>
      </c>
      <c r="U8" s="9">
        <v>1507.1379088916233</v>
      </c>
      <c r="V8" s="9">
        <v>880.29439353488704</v>
      </c>
      <c r="W8" s="2" t="s">
        <v>60</v>
      </c>
      <c r="X8" s="3">
        <v>400000</v>
      </c>
      <c r="Y8" s="3">
        <v>0</v>
      </c>
      <c r="Z8" s="3">
        <v>395182.82828282821</v>
      </c>
      <c r="AA8" s="3"/>
      <c r="AB8" s="3">
        <f t="shared" si="7"/>
        <v>158073131313.13129</v>
      </c>
      <c r="AC8" s="3">
        <f t="shared" si="8"/>
        <v>0</v>
      </c>
      <c r="AD8" s="3">
        <f t="shared" si="1"/>
        <v>-752.43790889162324</v>
      </c>
      <c r="AE8" s="3">
        <f t="shared" si="2"/>
        <v>626.84351535673625</v>
      </c>
      <c r="AF8" s="3"/>
      <c r="AG8" s="9">
        <f t="shared" si="3"/>
        <v>-626.84351535673625</v>
      </c>
      <c r="AH8" s="2">
        <v>1507.1379088916233</v>
      </c>
      <c r="AI8" s="9">
        <f t="shared" si="4"/>
        <v>-752.43790889162324</v>
      </c>
      <c r="AJ8" s="3">
        <v>463.92999999999995</v>
      </c>
      <c r="AK8" s="3"/>
      <c r="AL8">
        <f t="shared" si="5"/>
        <v>52753530.000000007</v>
      </c>
      <c r="AM8" s="11">
        <f t="shared" si="6"/>
        <v>490246081.61653471</v>
      </c>
      <c r="AO8">
        <v>391929.99999999994</v>
      </c>
      <c r="AP8" s="3">
        <v>69900</v>
      </c>
    </row>
    <row r="9" spans="1:42">
      <c r="A9" t="s">
        <v>13</v>
      </c>
      <c r="B9" s="2">
        <v>15.914285714285715</v>
      </c>
      <c r="C9" s="3">
        <v>15616.688571428571</v>
      </c>
      <c r="D9" s="3">
        <v>3496.5254798146921</v>
      </c>
      <c r="E9" s="3">
        <v>3.474520185307743</v>
      </c>
      <c r="F9" s="2">
        <v>55.7</v>
      </c>
      <c r="G9" s="10">
        <v>997.19887955182071</v>
      </c>
      <c r="H9" s="3">
        <v>55.7</v>
      </c>
      <c r="I9" s="3">
        <v>126.35447470817121</v>
      </c>
      <c r="M9" t="s">
        <v>13</v>
      </c>
      <c r="N9" s="2">
        <v>15.914285714285715</v>
      </c>
      <c r="O9" s="9">
        <v>15616.688571428571</v>
      </c>
      <c r="P9" s="9">
        <f t="shared" si="0"/>
        <v>981.3</v>
      </c>
      <c r="Q9" s="3">
        <v>3496.5254798146921</v>
      </c>
      <c r="R9" s="3">
        <v>3.474520185307743</v>
      </c>
      <c r="S9" s="3">
        <v>55752.173473369527</v>
      </c>
      <c r="T9" s="12">
        <v>997.19887955182071</v>
      </c>
      <c r="U9" s="9">
        <v>997.19887955182071</v>
      </c>
      <c r="V9" s="9">
        <v>1060.4453870625664</v>
      </c>
      <c r="W9" s="2" t="s">
        <v>60</v>
      </c>
      <c r="X9" s="3">
        <v>250000</v>
      </c>
      <c r="Y9" s="3">
        <v>0</v>
      </c>
      <c r="Z9" s="3">
        <v>55752.173473369527</v>
      </c>
      <c r="AA9" s="3"/>
      <c r="AB9" s="3">
        <f t="shared" si="7"/>
        <v>13938043368.342382</v>
      </c>
      <c r="AC9" s="3">
        <f t="shared" si="8"/>
        <v>0</v>
      </c>
      <c r="AD9" s="3">
        <f t="shared" si="1"/>
        <v>-15.898879551820755</v>
      </c>
      <c r="AE9" s="3">
        <f t="shared" si="2"/>
        <v>-63.246507510745687</v>
      </c>
      <c r="AF9" s="3"/>
      <c r="AG9" s="9">
        <f t="shared" si="3"/>
        <v>63.246507510745687</v>
      </c>
      <c r="AH9" s="2">
        <v>997.19887955182071</v>
      </c>
      <c r="AI9" s="9">
        <f t="shared" si="4"/>
        <v>-15.898879551820755</v>
      </c>
      <c r="AJ9" s="3">
        <v>55.7</v>
      </c>
      <c r="AK9" s="3"/>
      <c r="AL9">
        <f t="shared" si="5"/>
        <v>54604149.500330903</v>
      </c>
      <c r="AM9" s="11">
        <f t="shared" si="6"/>
        <v>107166.94956137691</v>
      </c>
      <c r="AO9">
        <v>55700</v>
      </c>
      <c r="AP9" s="3">
        <v>55644.705493050955</v>
      </c>
    </row>
    <row r="10" spans="1:42">
      <c r="A10" t="s">
        <v>14</v>
      </c>
      <c r="B10" s="2">
        <v>12.043478260869565</v>
      </c>
      <c r="C10" s="3">
        <v>30991.482608695653</v>
      </c>
      <c r="D10" s="3">
        <v>11500</v>
      </c>
      <c r="E10" s="3">
        <v>0</v>
      </c>
      <c r="F10" s="2">
        <v>138.5</v>
      </c>
      <c r="G10" s="9">
        <v>3208.3980532256396</v>
      </c>
      <c r="H10" s="3">
        <v>178.98</v>
      </c>
      <c r="I10" s="3">
        <v>403.66630350194555</v>
      </c>
      <c r="M10" t="s">
        <v>14</v>
      </c>
      <c r="N10" s="2">
        <v>12.043478260869565</v>
      </c>
      <c r="O10" s="9">
        <v>30991.482608695653</v>
      </c>
      <c r="P10" s="9">
        <f t="shared" si="0"/>
        <v>2573.3000000000002</v>
      </c>
      <c r="Q10" s="3">
        <v>11500</v>
      </c>
      <c r="R10" s="3">
        <v>0</v>
      </c>
      <c r="S10" s="3">
        <v>177520.20202020201</v>
      </c>
      <c r="T10" s="9">
        <v>3208.3980532256396</v>
      </c>
      <c r="U10" s="9">
        <v>3208.3980532256396</v>
      </c>
      <c r="V10" s="9">
        <v>4875.406283856988</v>
      </c>
      <c r="W10" s="2" t="s">
        <v>60</v>
      </c>
      <c r="X10" s="3">
        <v>690000</v>
      </c>
      <c r="Y10" s="3">
        <v>0</v>
      </c>
      <c r="Z10" s="3">
        <v>177520.20202020201</v>
      </c>
      <c r="AA10" s="3"/>
      <c r="AB10" s="3">
        <f t="shared" si="7"/>
        <v>122488939393.93939</v>
      </c>
      <c r="AC10" s="3">
        <f t="shared" si="8"/>
        <v>0</v>
      </c>
      <c r="AD10" s="3">
        <f t="shared" si="1"/>
        <v>-635.09805322563943</v>
      </c>
      <c r="AE10" s="3">
        <f t="shared" si="2"/>
        <v>-1667.0082306313484</v>
      </c>
      <c r="AF10" s="3"/>
      <c r="AG10" s="9">
        <f t="shared" si="3"/>
        <v>1667.0082306313484</v>
      </c>
      <c r="AH10" s="2">
        <v>3208.3980532256396</v>
      </c>
      <c r="AI10" s="9">
        <f t="shared" si="4"/>
        <v>-635.09805322563943</v>
      </c>
      <c r="AJ10" s="3">
        <v>178.98</v>
      </c>
      <c r="AK10" s="3"/>
      <c r="AL10">
        <f t="shared" si="5"/>
        <v>356402050</v>
      </c>
      <c r="AM10" s="11">
        <f t="shared" si="6"/>
        <v>125192340.19808729</v>
      </c>
      <c r="AO10">
        <v>177130</v>
      </c>
      <c r="AP10" s="3">
        <v>138500</v>
      </c>
    </row>
    <row r="11" spans="1:42">
      <c r="A11" t="s">
        <v>15</v>
      </c>
      <c r="B11" s="2">
        <v>5.2666666666666666</v>
      </c>
      <c r="C11" s="3">
        <v>3470.5920393493307</v>
      </c>
      <c r="D11" s="3">
        <v>12153.644700291174</v>
      </c>
      <c r="E11" s="3">
        <v>2846.3552997088264</v>
      </c>
      <c r="F11" s="2">
        <v>79</v>
      </c>
      <c r="G11" s="9">
        <v>912.0735945029121</v>
      </c>
      <c r="H11" s="3">
        <v>1990.27</v>
      </c>
      <c r="I11" s="3">
        <v>4514.7023735408557</v>
      </c>
      <c r="M11" t="s">
        <v>62</v>
      </c>
      <c r="N11" s="2">
        <v>5.2666666666666666</v>
      </c>
      <c r="O11" s="9">
        <v>3470.5920393493307</v>
      </c>
      <c r="P11" s="9">
        <f t="shared" si="0"/>
        <v>658.97317202835393</v>
      </c>
      <c r="Q11" s="3">
        <v>12153.644700291174</v>
      </c>
      <c r="R11" s="3">
        <v>2846.3552997088264</v>
      </c>
      <c r="S11" s="3">
        <v>2018018.651204779</v>
      </c>
      <c r="T11" s="9">
        <v>912.0735945029121</v>
      </c>
      <c r="U11" s="9">
        <v>912.0735945029121</v>
      </c>
      <c r="V11" s="9">
        <v>1140.0919931286401</v>
      </c>
      <c r="W11" s="2" t="s">
        <v>59</v>
      </c>
      <c r="X11" s="3">
        <v>3650000</v>
      </c>
      <c r="Y11" s="13">
        <v>25</v>
      </c>
      <c r="Z11" s="3">
        <v>1009009.3256023895</v>
      </c>
      <c r="AA11" s="3"/>
      <c r="AB11" s="3">
        <f t="shared" si="7"/>
        <v>0</v>
      </c>
      <c r="AC11" s="3">
        <f t="shared" si="8"/>
        <v>25225233.140059739</v>
      </c>
      <c r="AD11" s="3">
        <f t="shared" si="1"/>
        <v>-253.10042247455817</v>
      </c>
      <c r="AE11" s="3">
        <f t="shared" si="2"/>
        <v>-228.01839862572797</v>
      </c>
      <c r="AF11" s="3"/>
      <c r="AG11" s="9">
        <f t="shared" si="3"/>
        <v>228.01839862572797</v>
      </c>
      <c r="AH11" s="2">
        <v>912.0735945029121</v>
      </c>
      <c r="AI11" s="9">
        <f t="shared" si="4"/>
        <v>-253.10042247455817</v>
      </c>
      <c r="AJ11" s="3">
        <v>1990.27</v>
      </c>
      <c r="AK11" s="3"/>
      <c r="AL11">
        <f t="shared" si="5"/>
        <v>42180342.545910731</v>
      </c>
      <c r="AM11" s="11">
        <f t="shared" si="6"/>
        <v>1782200428.028904</v>
      </c>
      <c r="AO11">
        <v>1990120</v>
      </c>
      <c r="AP11" s="3">
        <v>64009.195421533514</v>
      </c>
    </row>
    <row r="12" spans="1:42">
      <c r="A12" t="s">
        <v>16</v>
      </c>
      <c r="B12" s="2">
        <v>19.849198868991518</v>
      </c>
      <c r="C12" s="3">
        <v>17679.681432610745</v>
      </c>
      <c r="D12" s="3">
        <v>8932.444101571693</v>
      </c>
      <c r="E12" s="3">
        <v>1677.5558984283064</v>
      </c>
      <c r="F12" s="2">
        <v>210.6</v>
      </c>
      <c r="G12" s="9">
        <v>1373.6134057115885</v>
      </c>
      <c r="H12" s="3">
        <v>210.6</v>
      </c>
      <c r="I12" s="3">
        <v>477.74241245136182</v>
      </c>
      <c r="M12" t="s">
        <v>63</v>
      </c>
      <c r="N12" s="2">
        <v>5.2666666666666666</v>
      </c>
      <c r="O12" s="9">
        <v>3470.5920393493307</v>
      </c>
      <c r="P12" s="9">
        <f t="shared" si="0"/>
        <v>658.97317202835393</v>
      </c>
      <c r="Q12" s="3">
        <v>12153.644700291174</v>
      </c>
      <c r="R12" s="3">
        <v>2846.3552997088264</v>
      </c>
      <c r="S12" s="3">
        <v>2018018.651204779</v>
      </c>
      <c r="T12" s="9">
        <v>912.0735945029121</v>
      </c>
      <c r="U12" s="9">
        <v>912.0735945029121</v>
      </c>
      <c r="V12" s="9">
        <v>1140.0919931286401</v>
      </c>
      <c r="W12" s="2" t="s">
        <v>60</v>
      </c>
      <c r="X12" s="3">
        <v>3650000</v>
      </c>
      <c r="Y12" s="3">
        <v>0</v>
      </c>
      <c r="Z12" s="3">
        <v>1009009.3256023895</v>
      </c>
      <c r="AA12" s="3"/>
      <c r="AB12" s="3">
        <f t="shared" si="7"/>
        <v>3682884038448.7217</v>
      </c>
      <c r="AC12" s="3">
        <f t="shared" si="8"/>
        <v>0</v>
      </c>
      <c r="AD12" s="3">
        <f t="shared" si="1"/>
        <v>-253.10042247455817</v>
      </c>
      <c r="AE12" s="3">
        <f t="shared" si="2"/>
        <v>-228.01839862572797</v>
      </c>
      <c r="AF12" s="3"/>
      <c r="AG12" s="9">
        <f t="shared" si="3"/>
        <v>228.01839862572797</v>
      </c>
      <c r="AH12" s="2"/>
      <c r="AI12" s="9"/>
      <c r="AJ12" s="3"/>
      <c r="AK12" s="3"/>
      <c r="AM12" s="11"/>
      <c r="AP12" s="3"/>
    </row>
    <row r="13" spans="1:42">
      <c r="A13" t="s">
        <v>17</v>
      </c>
      <c r="B13" s="2">
        <v>2.5316455696202529</v>
      </c>
      <c r="C13" s="3">
        <v>2038.1498649871141</v>
      </c>
      <c r="D13" s="3">
        <v>3634.4179894179902</v>
      </c>
      <c r="E13" s="3">
        <v>12165.582010582011</v>
      </c>
      <c r="F13" s="2">
        <v>40</v>
      </c>
      <c r="G13" s="9">
        <v>1114.2826251486647</v>
      </c>
      <c r="H13" s="3">
        <v>40</v>
      </c>
      <c r="I13" s="3">
        <v>90.739299610894932</v>
      </c>
      <c r="M13" t="s">
        <v>74</v>
      </c>
      <c r="N13" s="2">
        <v>19.849198868991518</v>
      </c>
      <c r="O13" s="9">
        <v>17679.681432610745</v>
      </c>
      <c r="P13" s="9">
        <f t="shared" si="0"/>
        <v>890.7</v>
      </c>
      <c r="Q13" s="3">
        <v>8932.444101571693</v>
      </c>
      <c r="R13" s="3">
        <v>1677.5558984283064</v>
      </c>
      <c r="S13" s="3">
        <v>218758.3515181088</v>
      </c>
      <c r="T13" s="9">
        <v>1373.6134057115885</v>
      </c>
      <c r="U13" s="9">
        <v>1373.6134057115885</v>
      </c>
      <c r="V13" s="9">
        <v>1480.1657785671994</v>
      </c>
      <c r="W13" s="2" t="s">
        <v>60</v>
      </c>
      <c r="X13" s="3">
        <v>340000</v>
      </c>
      <c r="Y13" s="3">
        <v>0</v>
      </c>
      <c r="Z13" s="3">
        <v>218758.3515181088</v>
      </c>
      <c r="AA13" s="3"/>
      <c r="AB13" s="3">
        <f t="shared" si="7"/>
        <v>74377839516.156998</v>
      </c>
      <c r="AC13" s="3">
        <f t="shared" si="8"/>
        <v>0</v>
      </c>
      <c r="AD13" s="3">
        <f t="shared" si="1"/>
        <v>-482.91340571158844</v>
      </c>
      <c r="AE13" s="3">
        <f t="shared" si="2"/>
        <v>-106.55237285561088</v>
      </c>
      <c r="AF13" s="3"/>
      <c r="AG13" s="9">
        <f t="shared" si="3"/>
        <v>106.55237285561088</v>
      </c>
      <c r="AH13" s="2">
        <v>1373.6134057115885</v>
      </c>
      <c r="AI13" s="9">
        <f t="shared" ref="AI13:AI24" si="9">P13-U13</f>
        <v>-482.91340571158844</v>
      </c>
      <c r="AJ13" s="3">
        <v>210.6</v>
      </c>
      <c r="AK13" s="3"/>
      <c r="AL13">
        <f t="shared" ref="AL13:AL24" si="10">O13*Q13</f>
        <v>157922766.13039044</v>
      </c>
      <c r="AM13" s="11">
        <f t="shared" ref="AM13:AM24" si="11">(S13-N13*Q13)*T13</f>
        <v>56945193.384563789</v>
      </c>
      <c r="AO13">
        <v>210600</v>
      </c>
      <c r="AP13" s="3">
        <v>177301.85935824682</v>
      </c>
    </row>
    <row r="14" spans="1:42">
      <c r="A14" t="s">
        <v>18</v>
      </c>
      <c r="B14" s="2">
        <v>13.285714285714285</v>
      </c>
      <c r="C14" s="3">
        <v>49386.985714285714</v>
      </c>
      <c r="D14" s="3">
        <v>4161.4847161572052</v>
      </c>
      <c r="E14" s="3">
        <v>38.515283842794751</v>
      </c>
      <c r="F14" s="2">
        <v>55.8</v>
      </c>
      <c r="G14" s="9">
        <v>3784.2851946162241</v>
      </c>
      <c r="H14" s="3">
        <v>55.8</v>
      </c>
      <c r="I14" s="3">
        <v>126.58132295719844</v>
      </c>
      <c r="M14" t="s">
        <v>17</v>
      </c>
      <c r="N14" s="2">
        <v>2.5316455696202529</v>
      </c>
      <c r="O14" s="9">
        <v>2038.1498649871141</v>
      </c>
      <c r="P14" s="9">
        <f t="shared" si="0"/>
        <v>805.06919666991018</v>
      </c>
      <c r="Q14" s="3">
        <v>3634.4179894179902</v>
      </c>
      <c r="R14" s="3">
        <v>12165.582010582011</v>
      </c>
      <c r="S14" s="3">
        <v>60896.958276732083</v>
      </c>
      <c r="T14" s="9">
        <v>1114.2826251486647</v>
      </c>
      <c r="U14" s="9">
        <v>1114.2826251486647</v>
      </c>
      <c r="V14" s="9">
        <v>1392.8532814358307</v>
      </c>
      <c r="W14" s="2" t="s">
        <v>59</v>
      </c>
      <c r="X14" s="3">
        <v>3780000</v>
      </c>
      <c r="Y14" s="13">
        <v>25</v>
      </c>
      <c r="Z14" s="3">
        <v>60896.958276732083</v>
      </c>
      <c r="AA14" s="3"/>
      <c r="AB14" s="3">
        <f t="shared" si="7"/>
        <v>0</v>
      </c>
      <c r="AC14" s="3">
        <f t="shared" si="8"/>
        <v>1522423.956918302</v>
      </c>
      <c r="AD14" s="3">
        <f t="shared" si="1"/>
        <v>-309.21342847875451</v>
      </c>
      <c r="AE14" s="3">
        <f t="shared" si="2"/>
        <v>-278.570656287166</v>
      </c>
      <c r="AF14" s="13"/>
      <c r="AG14" s="9">
        <f t="shared" si="3"/>
        <v>278.570656287166</v>
      </c>
      <c r="AH14" s="2">
        <v>1114.2826251486647</v>
      </c>
      <c r="AI14" s="9">
        <f t="shared" si="9"/>
        <v>-309.21342847875451</v>
      </c>
      <c r="AJ14" s="3">
        <v>40</v>
      </c>
      <c r="AK14" s="3"/>
      <c r="AL14">
        <f t="shared" si="10"/>
        <v>7407488.5344390152</v>
      </c>
      <c r="AM14" s="11">
        <f t="shared" si="11"/>
        <v>57603843.245744951</v>
      </c>
      <c r="AO14">
        <v>40000</v>
      </c>
      <c r="AP14" s="3">
        <v>9201.058201058202</v>
      </c>
    </row>
    <row r="15" spans="1:42">
      <c r="A15" t="s">
        <v>19</v>
      </c>
      <c r="B15" s="2">
        <v>5.4722899965144656</v>
      </c>
      <c r="C15" s="3">
        <v>7287.2661786917633</v>
      </c>
      <c r="D15" s="3">
        <v>286900</v>
      </c>
      <c r="E15" s="3">
        <v>0</v>
      </c>
      <c r="F15" s="2">
        <v>1570</v>
      </c>
      <c r="G15" s="9">
        <v>1275.6049055353001</v>
      </c>
      <c r="H15" s="3">
        <v>13695.21</v>
      </c>
      <c r="I15" s="3">
        <v>31008.993891050581</v>
      </c>
      <c r="M15" t="s">
        <v>18</v>
      </c>
      <c r="N15" s="2">
        <v>13.285714285714285</v>
      </c>
      <c r="O15" s="9">
        <v>49386.985714285714</v>
      </c>
      <c r="P15" s="9">
        <f t="shared" si="0"/>
        <v>3717.3</v>
      </c>
      <c r="Q15" s="3">
        <v>4161.4847161572052</v>
      </c>
      <c r="R15" s="3">
        <v>38.515283842794751</v>
      </c>
      <c r="S15" s="3">
        <v>56302.956386282647</v>
      </c>
      <c r="T15" s="9">
        <v>3784.2851946162241</v>
      </c>
      <c r="U15" s="9">
        <v>3784.2851946162241</v>
      </c>
      <c r="V15" s="9">
        <v>1177.8563015312131</v>
      </c>
      <c r="W15" s="2" t="s">
        <v>60</v>
      </c>
      <c r="X15" s="3">
        <v>330000</v>
      </c>
      <c r="Y15" s="3">
        <v>0</v>
      </c>
      <c r="Z15" s="3">
        <v>56302.956386282647</v>
      </c>
      <c r="AA15" s="3"/>
      <c r="AB15" s="3">
        <f t="shared" si="7"/>
        <v>18579975607.473274</v>
      </c>
      <c r="AC15" s="3">
        <f t="shared" si="8"/>
        <v>0</v>
      </c>
      <c r="AD15" s="3">
        <f t="shared" si="1"/>
        <v>-66.985194616223907</v>
      </c>
      <c r="AE15" s="3">
        <f t="shared" si="2"/>
        <v>2606.4288930850107</v>
      </c>
      <c r="AF15" s="3"/>
      <c r="AG15" s="9">
        <f t="shared" si="3"/>
        <v>-2606.4288930850107</v>
      </c>
      <c r="AH15" s="2">
        <v>3784.2851946162241</v>
      </c>
      <c r="AI15" s="9">
        <f t="shared" si="9"/>
        <v>-66.985194616223907</v>
      </c>
      <c r="AJ15" s="3">
        <v>55.8</v>
      </c>
      <c r="AK15" s="3"/>
      <c r="AL15">
        <f t="shared" si="10"/>
        <v>205523186.22707424</v>
      </c>
      <c r="AM15" s="11">
        <f t="shared" si="11"/>
        <v>3839760.7079162463</v>
      </c>
      <c r="AO15">
        <v>55800</v>
      </c>
      <c r="AP15" s="3">
        <v>55288.296943231435</v>
      </c>
    </row>
    <row r="16" spans="1:42">
      <c r="A16" t="s">
        <v>20</v>
      </c>
      <c r="B16" s="2">
        <v>0</v>
      </c>
      <c r="C16" s="3">
        <v>20180</v>
      </c>
      <c r="D16" s="3">
        <v>0</v>
      </c>
      <c r="E16" s="3">
        <v>0</v>
      </c>
      <c r="F16" s="2">
        <v>0</v>
      </c>
      <c r="G16" s="9">
        <v>1877.4647887323943</v>
      </c>
      <c r="H16" s="3">
        <v>0</v>
      </c>
      <c r="I16" s="3">
        <v>0</v>
      </c>
      <c r="M16" t="s">
        <v>19</v>
      </c>
      <c r="N16" s="2">
        <v>5.4722899965144656</v>
      </c>
      <c r="O16" s="9">
        <v>7287.2661786917633</v>
      </c>
      <c r="P16" s="9">
        <f t="shared" si="0"/>
        <v>1331.6666666666667</v>
      </c>
      <c r="Q16" s="3">
        <v>286900</v>
      </c>
      <c r="R16" s="3">
        <v>0</v>
      </c>
      <c r="S16" s="3">
        <v>13771222.22222222</v>
      </c>
      <c r="T16" s="9">
        <v>1275.6049055353001</v>
      </c>
      <c r="U16" s="9">
        <v>1350</v>
      </c>
      <c r="V16" s="9">
        <v>1566.6666666666667</v>
      </c>
      <c r="W16" s="2" t="s">
        <v>59</v>
      </c>
      <c r="X16" s="3">
        <v>3500000</v>
      </c>
      <c r="Y16" s="13">
        <v>25</v>
      </c>
      <c r="Z16" s="3">
        <v>13771222.22222222</v>
      </c>
      <c r="AA16" s="3"/>
      <c r="AB16" s="3">
        <f t="shared" si="7"/>
        <v>0</v>
      </c>
      <c r="AC16" s="3">
        <f t="shared" si="8"/>
        <v>344280555.55555552</v>
      </c>
      <c r="AD16" s="3">
        <f t="shared" si="1"/>
        <v>-18.333333333333258</v>
      </c>
      <c r="AE16" s="3">
        <f t="shared" si="2"/>
        <v>-291.06176113136667</v>
      </c>
      <c r="AF16" s="13"/>
      <c r="AG16" s="9">
        <f t="shared" si="3"/>
        <v>291.06176113136667</v>
      </c>
      <c r="AH16" s="2">
        <v>1275.6049055353001</v>
      </c>
      <c r="AI16" s="9">
        <f t="shared" si="9"/>
        <v>-18.333333333333258</v>
      </c>
      <c r="AJ16" s="3">
        <v>13695.21</v>
      </c>
      <c r="AK16" s="3"/>
      <c r="AL16">
        <f t="shared" si="10"/>
        <v>2090716666.666667</v>
      </c>
      <c r="AM16" s="11">
        <f t="shared" si="11"/>
        <v>15563938920.19298</v>
      </c>
      <c r="AO16">
        <v>13649210</v>
      </c>
      <c r="AP16" s="3">
        <v>1570000.0000000002</v>
      </c>
    </row>
    <row r="17" spans="1:42">
      <c r="A17" t="s">
        <v>21</v>
      </c>
      <c r="B17" s="2">
        <v>6.4741793853230183</v>
      </c>
      <c r="C17" s="3">
        <v>7548.7688306235468</v>
      </c>
      <c r="D17" s="3">
        <v>239150</v>
      </c>
      <c r="E17" s="3">
        <v>0</v>
      </c>
      <c r="F17" s="2">
        <v>1548.3</v>
      </c>
      <c r="G17" s="9">
        <v>2914.5807403309823</v>
      </c>
      <c r="H17" s="3">
        <v>2571.44</v>
      </c>
      <c r="I17" s="3">
        <v>5833.2666147859918</v>
      </c>
      <c r="M17" t="s">
        <v>76</v>
      </c>
      <c r="N17" s="2">
        <v>6.4741793853230183</v>
      </c>
      <c r="O17" s="9">
        <v>7548.7688306235468</v>
      </c>
      <c r="P17" s="9">
        <f t="shared" si="0"/>
        <v>1165.9807956104253</v>
      </c>
      <c r="Q17" s="3">
        <v>239150</v>
      </c>
      <c r="R17" s="3">
        <v>0</v>
      </c>
      <c r="S17" s="3">
        <v>2581774.7474747482</v>
      </c>
      <c r="T17" s="9">
        <v>2914.5807403309823</v>
      </c>
      <c r="U17" s="9">
        <v>2914.5807403309823</v>
      </c>
      <c r="V17" s="9">
        <v>1371.7421124828534</v>
      </c>
      <c r="W17" s="2" t="s">
        <v>60</v>
      </c>
      <c r="X17" s="3">
        <v>600000</v>
      </c>
      <c r="Y17" s="3">
        <v>0</v>
      </c>
      <c r="Z17" s="3">
        <v>2581774.7474747482</v>
      </c>
      <c r="AA17" s="3"/>
      <c r="AB17" s="3">
        <f t="shared" si="7"/>
        <v>1549064848484.8489</v>
      </c>
      <c r="AC17" s="3">
        <f t="shared" si="8"/>
        <v>0</v>
      </c>
      <c r="AD17" s="3">
        <f t="shared" si="1"/>
        <v>-1748.599944720557</v>
      </c>
      <c r="AE17" s="3">
        <f t="shared" si="2"/>
        <v>1542.8386278481289</v>
      </c>
      <c r="AF17" s="3"/>
      <c r="AG17" s="9">
        <f t="shared" si="3"/>
        <v>-1542.8386278481289</v>
      </c>
      <c r="AH17" s="2">
        <v>2914.5807403309823</v>
      </c>
      <c r="AI17" s="9">
        <f t="shared" si="9"/>
        <v>-1748.599944720557</v>
      </c>
      <c r="AJ17" s="3">
        <v>2571.44</v>
      </c>
      <c r="AK17" s="3"/>
      <c r="AL17">
        <f t="shared" si="10"/>
        <v>1805288065.8436213</v>
      </c>
      <c r="AM17" s="11">
        <f t="shared" si="11"/>
        <v>3012145594.6083274</v>
      </c>
      <c r="AO17">
        <v>2571440</v>
      </c>
      <c r="AP17" s="3">
        <v>1548299.9999999998</v>
      </c>
    </row>
    <row r="18" spans="1:42">
      <c r="A18" t="s">
        <v>22</v>
      </c>
      <c r="B18" s="2">
        <v>25.068846009741474</v>
      </c>
      <c r="C18" s="3">
        <v>25570.222929936303</v>
      </c>
      <c r="D18" s="3">
        <v>106760</v>
      </c>
      <c r="E18" s="3">
        <v>0</v>
      </c>
      <c r="F18" s="2">
        <v>2676.35</v>
      </c>
      <c r="G18" s="9">
        <v>2894.9468085106382</v>
      </c>
      <c r="H18" s="3">
        <v>3411.3199999999997</v>
      </c>
      <c r="I18" s="3">
        <v>7264.1072373540846</v>
      </c>
      <c r="M18" t="s">
        <v>22</v>
      </c>
      <c r="N18" s="2">
        <v>25.068846009741474</v>
      </c>
      <c r="O18" s="9">
        <v>25570.222929936303</v>
      </c>
      <c r="P18" s="9">
        <f t="shared" si="0"/>
        <v>1020</v>
      </c>
      <c r="Q18" s="3">
        <v>106760</v>
      </c>
      <c r="R18" s="3">
        <v>0</v>
      </c>
      <c r="S18" s="3">
        <v>3040966.1616161619</v>
      </c>
      <c r="T18" s="9">
        <v>2894.9468085106382</v>
      </c>
      <c r="U18" s="9">
        <v>2894.9468085106382</v>
      </c>
      <c r="V18" s="9">
        <v>1093.7568359802249</v>
      </c>
      <c r="W18" s="2" t="s">
        <v>60</v>
      </c>
      <c r="X18" s="3">
        <v>250000</v>
      </c>
      <c r="Y18" s="3">
        <v>0</v>
      </c>
      <c r="Z18" s="3">
        <v>3040966.1616161619</v>
      </c>
      <c r="AA18" s="3"/>
      <c r="AB18" s="3">
        <f t="shared" si="7"/>
        <v>760241540404.04053</v>
      </c>
      <c r="AC18" s="3">
        <f t="shared" si="8"/>
        <v>0</v>
      </c>
      <c r="AD18" s="3">
        <f t="shared" si="1"/>
        <v>-1874.9468085106382</v>
      </c>
      <c r="AE18" s="3">
        <f t="shared" si="2"/>
        <v>1801.1899725304133</v>
      </c>
      <c r="AF18" s="3"/>
      <c r="AG18" s="9">
        <f t="shared" si="3"/>
        <v>-1801.1899725304133</v>
      </c>
      <c r="AH18" s="2">
        <v>2894.9468085106382</v>
      </c>
      <c r="AI18" s="9">
        <f t="shared" si="9"/>
        <v>-1874.9468085106382</v>
      </c>
      <c r="AJ18" s="3">
        <v>3411.3199999999997</v>
      </c>
      <c r="AK18" s="3"/>
      <c r="AL18">
        <f t="shared" si="10"/>
        <v>2729876999.9999995</v>
      </c>
      <c r="AM18" s="11">
        <f t="shared" si="11"/>
        <v>1055544393.402107</v>
      </c>
      <c r="AO18">
        <v>3037319.9999999995</v>
      </c>
      <c r="AP18" s="3">
        <v>2676350</v>
      </c>
    </row>
    <row r="19" spans="1:42">
      <c r="A19" t="s">
        <v>23</v>
      </c>
      <c r="B19" s="2">
        <v>26.078431372549019</v>
      </c>
      <c r="C19" s="3">
        <v>21209.588235294115</v>
      </c>
      <c r="D19" s="3">
        <v>15294.443923810417</v>
      </c>
      <c r="E19" s="3">
        <v>5.556076189583675</v>
      </c>
      <c r="F19" s="2">
        <v>399</v>
      </c>
      <c r="G19" s="9">
        <v>830.3406390282546</v>
      </c>
      <c r="H19" s="3">
        <v>451.09000000000003</v>
      </c>
      <c r="I19" s="3">
        <v>995.64953307392989</v>
      </c>
      <c r="M19" t="s">
        <v>69</v>
      </c>
      <c r="N19" s="2">
        <v>26.078431372549019</v>
      </c>
      <c r="O19" s="9">
        <v>21209.588235294115</v>
      </c>
      <c r="P19" s="9">
        <f t="shared" si="0"/>
        <v>813.3</v>
      </c>
      <c r="Q19" s="3">
        <v>15294.443923810417</v>
      </c>
      <c r="R19" s="3">
        <v>5.556076189583675</v>
      </c>
      <c r="S19" s="3">
        <v>429685.2662653033</v>
      </c>
      <c r="T19" s="9">
        <v>830.3406390282546</v>
      </c>
      <c r="U19" s="9">
        <v>830.3406390282546</v>
      </c>
      <c r="V19" s="9">
        <v>740.17601385609498</v>
      </c>
      <c r="W19" s="2" t="s">
        <v>60</v>
      </c>
      <c r="X19" s="3">
        <v>770000</v>
      </c>
      <c r="Y19" s="3">
        <v>0</v>
      </c>
      <c r="Z19" s="3">
        <v>429685.2662653033</v>
      </c>
      <c r="AA19" s="3"/>
      <c r="AB19" s="3">
        <f t="shared" si="7"/>
        <v>330857655024.28357</v>
      </c>
      <c r="AC19" s="3">
        <f t="shared" si="8"/>
        <v>0</v>
      </c>
      <c r="AD19" s="3">
        <f t="shared" si="1"/>
        <v>-17.040639028254645</v>
      </c>
      <c r="AE19" s="3">
        <f t="shared" si="2"/>
        <v>90.164625172159617</v>
      </c>
      <c r="AF19" s="3"/>
      <c r="AG19" s="9">
        <f t="shared" si="3"/>
        <v>-90.164625172159617</v>
      </c>
      <c r="AH19" s="2">
        <v>830.3406390282546</v>
      </c>
      <c r="AI19" s="9">
        <f t="shared" si="9"/>
        <v>-17.040639028254645</v>
      </c>
      <c r="AJ19" s="3">
        <v>451.09000000000003</v>
      </c>
      <c r="AK19" s="3"/>
      <c r="AL19">
        <f t="shared" si="10"/>
        <v>324388857.91181499</v>
      </c>
      <c r="AM19" s="11">
        <f t="shared" si="11"/>
        <v>25599534.769787729</v>
      </c>
      <c r="AO19">
        <v>429300</v>
      </c>
      <c r="AP19" s="3">
        <v>398855.10624838929</v>
      </c>
    </row>
    <row r="20" spans="1:42">
      <c r="A20" t="s">
        <v>24</v>
      </c>
      <c r="B20" s="2">
        <v>2.0833333333333335</v>
      </c>
      <c r="C20" s="3">
        <v>7140.4569892473128</v>
      </c>
      <c r="D20" s="3">
        <v>1589.1246298004562</v>
      </c>
      <c r="E20" s="3">
        <v>810.87537019954357</v>
      </c>
      <c r="F20" s="2">
        <v>5</v>
      </c>
      <c r="G20" s="9">
        <v>4751.6518338727074</v>
      </c>
      <c r="H20" s="3">
        <v>34.909999999999997</v>
      </c>
      <c r="I20" s="3">
        <v>78.875603112840452</v>
      </c>
      <c r="M20" t="s">
        <v>70</v>
      </c>
      <c r="N20" s="2">
        <v>2.0833333333333335</v>
      </c>
      <c r="O20" s="9">
        <v>7140.4569892473128</v>
      </c>
      <c r="P20" s="9">
        <f t="shared" si="0"/>
        <v>3427.4193548387098</v>
      </c>
      <c r="Q20" s="3">
        <v>1589.1246298004562</v>
      </c>
      <c r="R20" s="3">
        <v>810.87537019954357</v>
      </c>
      <c r="S20" s="3">
        <v>36665.983523147188</v>
      </c>
      <c r="T20" s="9">
        <v>4751.6518338727074</v>
      </c>
      <c r="U20" s="9">
        <v>4751.6518338727074</v>
      </c>
      <c r="V20" s="9">
        <v>4032.2580645161293</v>
      </c>
      <c r="W20" s="2" t="s">
        <v>60</v>
      </c>
      <c r="X20" s="3">
        <v>5730000</v>
      </c>
      <c r="Y20" s="3">
        <v>0</v>
      </c>
      <c r="Z20" s="3">
        <v>36665.983523147188</v>
      </c>
      <c r="AA20" s="3"/>
      <c r="AB20" s="3">
        <f t="shared" si="7"/>
        <v>210096085587.63339</v>
      </c>
      <c r="AC20" s="3">
        <f t="shared" si="8"/>
        <v>0</v>
      </c>
      <c r="AD20" s="3">
        <f t="shared" si="1"/>
        <v>-1324.2324790339976</v>
      </c>
      <c r="AE20" s="3">
        <f t="shared" si="2"/>
        <v>719.3937693565781</v>
      </c>
      <c r="AF20" s="3"/>
      <c r="AG20" s="9">
        <f t="shared" si="3"/>
        <v>-719.3937693565781</v>
      </c>
      <c r="AH20" s="2">
        <v>4751.6518338727074</v>
      </c>
      <c r="AI20" s="9">
        <f t="shared" si="9"/>
        <v>-1324.2324790339976</v>
      </c>
      <c r="AJ20" s="3">
        <v>34.909999999999997</v>
      </c>
      <c r="AK20" s="3"/>
      <c r="AL20">
        <f t="shared" si="10"/>
        <v>11347076.069643715</v>
      </c>
      <c r="AM20" s="11">
        <f t="shared" si="11"/>
        <v>158492806.67883462</v>
      </c>
      <c r="AO20">
        <v>34660</v>
      </c>
      <c r="AP20" s="3">
        <v>3310.6763120842838</v>
      </c>
    </row>
    <row r="21" spans="1:42">
      <c r="A21" t="s">
        <v>25</v>
      </c>
      <c r="B21" s="2">
        <v>2.5316455696202529</v>
      </c>
      <c r="C21" s="3">
        <v>2263.2065807331223</v>
      </c>
      <c r="D21" s="3">
        <v>7268.8359788359803</v>
      </c>
      <c r="E21" s="3">
        <v>24331.164021164022</v>
      </c>
      <c r="F21" s="2">
        <v>80</v>
      </c>
      <c r="G21" s="9">
        <v>1237.3240129959634</v>
      </c>
      <c r="H21" s="3">
        <v>97.82</v>
      </c>
      <c r="I21" s="3">
        <v>221.90295719844354</v>
      </c>
      <c r="M21" t="s">
        <v>68</v>
      </c>
      <c r="N21" s="2">
        <v>2.5316455696202529</v>
      </c>
      <c r="O21" s="9">
        <v>2263.2065807331223</v>
      </c>
      <c r="P21" s="9">
        <f t="shared" si="0"/>
        <v>893.96659938958339</v>
      </c>
      <c r="Q21" s="3">
        <v>7268.8359788359803</v>
      </c>
      <c r="R21" s="3">
        <v>24331.164021164022</v>
      </c>
      <c r="S21" s="3">
        <v>129921.4283555963</v>
      </c>
      <c r="T21" s="9">
        <v>1237.3240129959634</v>
      </c>
      <c r="U21" s="9">
        <v>1237.3240129959634</v>
      </c>
      <c r="V21" s="9">
        <v>1546.6550162449541</v>
      </c>
      <c r="W21" s="2" t="s">
        <v>59</v>
      </c>
      <c r="X21" s="3">
        <v>3390000</v>
      </c>
      <c r="Y21" s="13">
        <v>25</v>
      </c>
      <c r="Z21" s="3">
        <v>129921.4283555963</v>
      </c>
      <c r="AA21" s="3"/>
      <c r="AB21" s="3">
        <f t="shared" si="7"/>
        <v>0</v>
      </c>
      <c r="AC21" s="3">
        <f t="shared" si="8"/>
        <v>3248035.7088899077</v>
      </c>
      <c r="AD21" s="3">
        <f t="shared" si="1"/>
        <v>-343.35741360637996</v>
      </c>
      <c r="AE21" s="3">
        <f t="shared" si="2"/>
        <v>-309.33100324899078</v>
      </c>
      <c r="AF21" s="13"/>
      <c r="AG21" s="9">
        <f t="shared" si="3"/>
        <v>309.33100324899078</v>
      </c>
      <c r="AH21" s="2">
        <v>1237.3240129959634</v>
      </c>
      <c r="AI21" s="9">
        <f t="shared" si="9"/>
        <v>-343.35741360637996</v>
      </c>
      <c r="AJ21" s="3">
        <v>97.82</v>
      </c>
      <c r="AK21" s="3"/>
      <c r="AL21">
        <f t="shared" si="10"/>
        <v>16450877.421571277</v>
      </c>
      <c r="AM21" s="11">
        <f t="shared" si="11"/>
        <v>137985522.59282845</v>
      </c>
      <c r="AO21">
        <v>97820</v>
      </c>
      <c r="AP21" s="3">
        <v>18402.116402116404</v>
      </c>
    </row>
    <row r="22" spans="1:42">
      <c r="A22" t="s">
        <v>26</v>
      </c>
      <c r="B22" s="2">
        <v>0</v>
      </c>
      <c r="C22" s="3">
        <v>18116.679</v>
      </c>
      <c r="D22" s="3">
        <v>0</v>
      </c>
      <c r="E22" s="3">
        <v>0</v>
      </c>
      <c r="F22" s="2">
        <v>0</v>
      </c>
      <c r="G22" s="10">
        <v>591.74311926605503</v>
      </c>
      <c r="H22" s="3">
        <v>0</v>
      </c>
      <c r="I22" s="3">
        <v>0</v>
      </c>
      <c r="M22" t="s">
        <v>71</v>
      </c>
      <c r="N22" s="2">
        <v>35.237410071942449</v>
      </c>
      <c r="O22" s="9">
        <v>44540.086330935257</v>
      </c>
      <c r="P22" s="9">
        <f t="shared" si="0"/>
        <v>1264</v>
      </c>
      <c r="Q22" s="3">
        <v>13703.134462955053</v>
      </c>
      <c r="R22" s="3">
        <v>196.86553704494753</v>
      </c>
      <c r="S22" s="3">
        <v>705323.8941978775</v>
      </c>
      <c r="T22" s="9">
        <v>1473.9238310890564</v>
      </c>
      <c r="U22" s="9">
        <v>1473.9238310890564</v>
      </c>
      <c r="V22" s="9">
        <v>1292.2679302175318</v>
      </c>
      <c r="W22" s="2" t="s">
        <v>60</v>
      </c>
      <c r="X22" s="3">
        <v>180000</v>
      </c>
      <c r="Y22" s="3">
        <v>0</v>
      </c>
      <c r="Z22" s="3">
        <v>705323.8941978775</v>
      </c>
      <c r="AA22" s="3"/>
      <c r="AB22" s="3">
        <f t="shared" si="7"/>
        <v>126958300955.61795</v>
      </c>
      <c r="AC22" s="3">
        <f t="shared" si="8"/>
        <v>0</v>
      </c>
      <c r="AD22" s="3">
        <f t="shared" si="1"/>
        <v>-209.92383108905642</v>
      </c>
      <c r="AE22" s="3">
        <f t="shared" si="2"/>
        <v>181.65590087152464</v>
      </c>
      <c r="AF22" s="3"/>
      <c r="AG22" s="9">
        <f t="shared" si="3"/>
        <v>-181.65590087152464</v>
      </c>
      <c r="AH22" s="2">
        <v>1473.9238310890564</v>
      </c>
      <c r="AI22" s="9">
        <f t="shared" si="9"/>
        <v>-209.92383108905642</v>
      </c>
      <c r="AJ22" s="3">
        <v>703.07</v>
      </c>
      <c r="AK22" s="3"/>
      <c r="AL22">
        <f t="shared" si="10"/>
        <v>610338791.98443222</v>
      </c>
      <c r="AM22" s="11">
        <f t="shared" si="11"/>
        <v>327890460.10494536</v>
      </c>
      <c r="AO22">
        <v>697370</v>
      </c>
      <c r="AP22" s="3">
        <v>482862.96834211407</v>
      </c>
    </row>
    <row r="23" spans="1:42">
      <c r="A23" t="s">
        <v>27</v>
      </c>
      <c r="B23" s="2">
        <v>35.237410071942449</v>
      </c>
      <c r="C23" s="3">
        <v>44540.086330935257</v>
      </c>
      <c r="D23" s="3">
        <v>13703.134462955053</v>
      </c>
      <c r="E23" s="3">
        <v>196.86553704494753</v>
      </c>
      <c r="F23" s="2">
        <v>489.8</v>
      </c>
      <c r="G23" s="9">
        <v>1473.9238310890564</v>
      </c>
      <c r="H23" s="3">
        <v>703.07</v>
      </c>
      <c r="I23" s="3">
        <v>1587.6716342412451</v>
      </c>
      <c r="M23" t="s">
        <v>73</v>
      </c>
      <c r="N23" s="2">
        <v>21.324137931034482</v>
      </c>
      <c r="O23" s="9">
        <v>10747.365517241378</v>
      </c>
      <c r="P23" s="9">
        <f t="shared" si="0"/>
        <v>504</v>
      </c>
      <c r="Q23" s="3">
        <v>8666.6582672297645</v>
      </c>
      <c r="R23" s="3">
        <v>5833.3417327702346</v>
      </c>
      <c r="S23" s="3">
        <v>452847.45829136577</v>
      </c>
      <c r="T23" s="9">
        <v>2013</v>
      </c>
      <c r="U23" s="9">
        <v>2013</v>
      </c>
      <c r="V23" s="9">
        <v>936.75247988491333</v>
      </c>
      <c r="W23" s="2" t="s">
        <v>60</v>
      </c>
      <c r="X23" s="3">
        <v>300000</v>
      </c>
      <c r="Y23" s="3">
        <v>0</v>
      </c>
      <c r="Z23" s="3">
        <v>452847.45829136577</v>
      </c>
      <c r="AA23" s="3"/>
      <c r="AB23" s="3">
        <f t="shared" si="7"/>
        <v>135854237487.40973</v>
      </c>
      <c r="AC23" s="3">
        <f t="shared" si="8"/>
        <v>0</v>
      </c>
      <c r="AD23" s="3">
        <f t="shared" si="1"/>
        <v>-1509</v>
      </c>
      <c r="AE23" s="3">
        <f t="shared" si="2"/>
        <v>1076.2475201150867</v>
      </c>
      <c r="AF23" s="3"/>
      <c r="AG23" s="9">
        <f t="shared" si="3"/>
        <v>-1076.2475201150867</v>
      </c>
      <c r="AH23" s="2">
        <v>2013</v>
      </c>
      <c r="AI23" s="9">
        <f t="shared" si="9"/>
        <v>-1509</v>
      </c>
      <c r="AJ23" s="3">
        <v>400.02</v>
      </c>
      <c r="AK23" s="3"/>
      <c r="AL23">
        <f t="shared" si="10"/>
        <v>93143744.210940078</v>
      </c>
      <c r="AM23" s="11">
        <f t="shared" si="11"/>
        <v>539561383.7456336</v>
      </c>
      <c r="AO23">
        <v>327020</v>
      </c>
      <c r="AP23" s="3">
        <v>184809.0162915478</v>
      </c>
    </row>
    <row r="24" spans="1:42">
      <c r="A24" t="s">
        <v>28</v>
      </c>
      <c r="B24" s="2">
        <v>21.324137931034482</v>
      </c>
      <c r="C24" s="3">
        <v>10747.365517241378</v>
      </c>
      <c r="D24" s="3">
        <v>8666.6582672297645</v>
      </c>
      <c r="E24" s="3">
        <v>5833.3417327702346</v>
      </c>
      <c r="F24" s="2">
        <v>309.2</v>
      </c>
      <c r="G24" s="9">
        <v>2013</v>
      </c>
      <c r="H24" s="3">
        <v>400.02</v>
      </c>
      <c r="I24" s="3">
        <v>814.83914396887155</v>
      </c>
      <c r="M24" t="s">
        <v>29</v>
      </c>
      <c r="N24" s="2">
        <v>6.1318181818181818</v>
      </c>
      <c r="O24" s="9">
        <v>2281.0363636363636</v>
      </c>
      <c r="P24" s="9">
        <f t="shared" si="0"/>
        <v>372</v>
      </c>
      <c r="Q24" s="3">
        <v>207627.47885206636</v>
      </c>
      <c r="R24" s="3">
        <v>12372.521147933654</v>
      </c>
      <c r="S24" s="3">
        <v>3019989.2015596158</v>
      </c>
      <c r="T24" s="9">
        <v>928.45338235567192</v>
      </c>
      <c r="U24" s="9">
        <v>928.45338235567192</v>
      </c>
      <c r="V24" s="9">
        <v>1257.8616352201259</v>
      </c>
      <c r="W24" s="2" t="s">
        <v>60</v>
      </c>
      <c r="X24" s="3">
        <v>3400000</v>
      </c>
      <c r="Y24" s="3">
        <v>0</v>
      </c>
      <c r="Z24" s="3">
        <v>3019989.2015596158</v>
      </c>
      <c r="AA24" s="3"/>
      <c r="AB24" s="3">
        <f t="shared" si="7"/>
        <v>10267963285302.693</v>
      </c>
      <c r="AC24" s="3">
        <f t="shared" si="8"/>
        <v>0</v>
      </c>
      <c r="AD24" s="3">
        <f t="shared" si="1"/>
        <v>-556.45338235567192</v>
      </c>
      <c r="AE24" s="3">
        <f t="shared" si="2"/>
        <v>-329.40825286445397</v>
      </c>
      <c r="AF24" s="3"/>
      <c r="AG24" s="9">
        <f t="shared" si="3"/>
        <v>329.40825286445397</v>
      </c>
      <c r="AH24" s="2">
        <v>928.45338235567192</v>
      </c>
      <c r="AI24" s="9">
        <f t="shared" si="9"/>
        <v>-556.45338235567192</v>
      </c>
      <c r="AJ24" s="3">
        <v>2970.93</v>
      </c>
      <c r="AK24" s="3"/>
      <c r="AL24">
        <f t="shared" si="10"/>
        <v>473605829.35170341</v>
      </c>
      <c r="AM24" s="11">
        <f t="shared" si="11"/>
        <v>1621873666.9168339</v>
      </c>
      <c r="AO24">
        <v>2968540</v>
      </c>
      <c r="AP24" s="3">
        <v>1273133.9498701706</v>
      </c>
    </row>
    <row r="25" spans="1:42">
      <c r="A25" t="s">
        <v>29</v>
      </c>
      <c r="B25" s="2">
        <v>6.1318181818181818</v>
      </c>
      <c r="C25" s="3">
        <v>2281.0363636363636</v>
      </c>
      <c r="D25" s="3">
        <v>207627.47885206636</v>
      </c>
      <c r="E25" s="3">
        <v>12372.521147933654</v>
      </c>
      <c r="F25" s="2">
        <v>1349</v>
      </c>
      <c r="G25" s="9">
        <v>928.45338235567192</v>
      </c>
      <c r="H25" s="3">
        <v>2970.93</v>
      </c>
      <c r="I25" s="3">
        <v>6736.4710116731521</v>
      </c>
    </row>
    <row r="26" spans="1:42">
      <c r="Q26" s="3">
        <f t="shared" ref="Q26:Q48" si="12">Q2+R2</f>
        <v>160360</v>
      </c>
      <c r="AB26" s="3">
        <f>SUM(AB2:AB24)</f>
        <v>20383726687845.848</v>
      </c>
      <c r="AC26" s="3">
        <f>SUM(AC2:AC24)</f>
        <v>644210951.0276916</v>
      </c>
    </row>
    <row r="27" spans="1:42">
      <c r="Q27" s="3">
        <f t="shared" si="12"/>
        <v>2000</v>
      </c>
      <c r="U27" t="s">
        <v>59</v>
      </c>
      <c r="V27" s="3">
        <f>SUMIF(W2:W24,U27,Z2:Z24)</f>
        <v>25768438.041107662</v>
      </c>
    </row>
    <row r="28" spans="1:42">
      <c r="Q28" s="3">
        <f t="shared" si="12"/>
        <v>3200</v>
      </c>
      <c r="U28" t="s">
        <v>60</v>
      </c>
      <c r="V28" s="3">
        <f>SUMIF(W2:W24,U28,Z2:Z24)</f>
        <v>13714838.814736927</v>
      </c>
      <c r="AB28" t="s">
        <v>80</v>
      </c>
      <c r="AC28">
        <v>23500000</v>
      </c>
    </row>
    <row r="29" spans="1:42">
      <c r="Q29" s="3">
        <f t="shared" si="12"/>
        <v>14200</v>
      </c>
      <c r="AB29" t="s">
        <v>81</v>
      </c>
      <c r="AC29">
        <f>AB26/(365*AC28)</f>
        <v>2376.418150725252</v>
      </c>
    </row>
    <row r="30" spans="1:42">
      <c r="Q30" s="3">
        <f t="shared" si="12"/>
        <v>5300</v>
      </c>
      <c r="AB30" t="s">
        <v>82</v>
      </c>
      <c r="AC30">
        <f>AC26*1000/(365*AC28)</f>
        <v>75.104745092123778</v>
      </c>
    </row>
    <row r="31" spans="1:42">
      <c r="Q31" s="3">
        <f t="shared" si="12"/>
        <v>171990</v>
      </c>
    </row>
    <row r="32" spans="1:42">
      <c r="Q32" s="3">
        <f t="shared" si="12"/>
        <v>2700</v>
      </c>
    </row>
    <row r="33" spans="17:17">
      <c r="Q33" s="3">
        <f t="shared" si="12"/>
        <v>3500</v>
      </c>
    </row>
    <row r="34" spans="17:17">
      <c r="Q34" s="3">
        <f t="shared" si="12"/>
        <v>11500</v>
      </c>
    </row>
    <row r="35" spans="17:17">
      <c r="Q35" s="3">
        <f t="shared" si="12"/>
        <v>15000</v>
      </c>
    </row>
    <row r="36" spans="17:17">
      <c r="Q36" s="3">
        <f t="shared" si="12"/>
        <v>15000</v>
      </c>
    </row>
    <row r="37" spans="17:17">
      <c r="Q37" s="3">
        <f t="shared" si="12"/>
        <v>10610</v>
      </c>
    </row>
    <row r="38" spans="17:17">
      <c r="Q38" s="3">
        <f t="shared" si="12"/>
        <v>15800.000000000002</v>
      </c>
    </row>
    <row r="39" spans="17:17">
      <c r="Q39" s="3">
        <f t="shared" si="12"/>
        <v>4200</v>
      </c>
    </row>
    <row r="40" spans="17:17">
      <c r="Q40" s="3">
        <f t="shared" si="12"/>
        <v>286900</v>
      </c>
    </row>
    <row r="41" spans="17:17">
      <c r="Q41" s="3">
        <f t="shared" si="12"/>
        <v>239150</v>
      </c>
    </row>
    <row r="42" spans="17:17">
      <c r="Q42" s="3">
        <f t="shared" si="12"/>
        <v>106760</v>
      </c>
    </row>
    <row r="43" spans="17:17">
      <c r="Q43" s="3">
        <f t="shared" si="12"/>
        <v>15300</v>
      </c>
    </row>
    <row r="44" spans="17:17">
      <c r="Q44" s="3">
        <f t="shared" si="12"/>
        <v>2400</v>
      </c>
    </row>
    <row r="45" spans="17:17">
      <c r="Q45" s="3">
        <f t="shared" si="12"/>
        <v>31600.000000000004</v>
      </c>
    </row>
    <row r="46" spans="17:17">
      <c r="Q46" s="3">
        <f t="shared" si="12"/>
        <v>13900</v>
      </c>
    </row>
    <row r="47" spans="17:17">
      <c r="Q47" s="3">
        <f t="shared" si="12"/>
        <v>14500</v>
      </c>
    </row>
    <row r="48" spans="17:17">
      <c r="Q48" s="3">
        <f t="shared" si="12"/>
        <v>220000</v>
      </c>
    </row>
    <row r="49" spans="17:17">
      <c r="Q49" s="3"/>
    </row>
    <row r="50" spans="17:17">
      <c r="Q50" s="3"/>
    </row>
    <row r="51" spans="17:17">
      <c r="Q51" s="3"/>
    </row>
    <row r="52" spans="17:17">
      <c r="Q52" s="3"/>
    </row>
    <row r="53" spans="17:17">
      <c r="Q53" s="3"/>
    </row>
    <row r="54" spans="17:17">
      <c r="Q54" s="3"/>
    </row>
    <row r="55" spans="17:17">
      <c r="Q55" s="3"/>
    </row>
    <row r="56" spans="17:17">
      <c r="Q56" s="3"/>
    </row>
    <row r="57" spans="17:17">
      <c r="Q57" s="3"/>
    </row>
    <row r="58" spans="17:17">
      <c r="Q58" s="3"/>
    </row>
    <row r="59" spans="17:17">
      <c r="Q59" s="3"/>
    </row>
    <row r="60" spans="17:17">
      <c r="Q60" s="3"/>
    </row>
    <row r="61" spans="17:17">
      <c r="Q61" s="3"/>
    </row>
    <row r="62" spans="17:17">
      <c r="Q62" s="3"/>
    </row>
    <row r="63" spans="17:17">
      <c r="Q63" s="3"/>
    </row>
    <row r="64" spans="17:17">
      <c r="Q64" s="3"/>
    </row>
    <row r="65" spans="17:17">
      <c r="Q65" s="3"/>
    </row>
  </sheetData>
  <conditionalFormatting sqref="AE2:AE24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E2F4-4CE2-4369-9E40-DFF768BB9849}">
  <dimension ref="A1:O85"/>
  <sheetViews>
    <sheetView workbookViewId="0"/>
  </sheetViews>
  <sheetFormatPr defaultRowHeight="14.4"/>
  <cols>
    <col min="1" max="1" width="14.68359375" bestFit="1" customWidth="1"/>
    <col min="3" max="3" width="11.62890625" customWidth="1"/>
  </cols>
  <sheetData>
    <row r="1" spans="1:15" ht="14.7" thickBot="1">
      <c r="A1" t="s">
        <v>0</v>
      </c>
      <c r="B1" t="s">
        <v>47</v>
      </c>
      <c r="C1" t="s">
        <v>48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36</v>
      </c>
      <c r="I1" s="7" t="s">
        <v>37</v>
      </c>
      <c r="J1" s="7" t="s">
        <v>38</v>
      </c>
      <c r="K1" s="7" t="s">
        <v>39</v>
      </c>
      <c r="L1" s="7" t="s">
        <v>40</v>
      </c>
      <c r="M1" s="7" t="s">
        <v>41</v>
      </c>
      <c r="N1" s="7" t="s">
        <v>42</v>
      </c>
      <c r="O1" s="7" t="s">
        <v>43</v>
      </c>
    </row>
    <row r="2" spans="1:15">
      <c r="A2" s="8" t="s">
        <v>77</v>
      </c>
      <c r="B2" t="s">
        <v>2</v>
      </c>
      <c r="C2" s="4">
        <v>0.7</v>
      </c>
      <c r="D2" s="6">
        <v>0.35</v>
      </c>
      <c r="E2" s="6">
        <v>0</v>
      </c>
      <c r="F2" s="6">
        <v>0.25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0.25</v>
      </c>
      <c r="M2" s="6">
        <v>0</v>
      </c>
      <c r="N2" s="6">
        <v>0.25</v>
      </c>
      <c r="O2" s="6">
        <v>0</v>
      </c>
    </row>
    <row r="3" spans="1:15">
      <c r="A3" s="8" t="s">
        <v>77</v>
      </c>
      <c r="B3" t="s">
        <v>3</v>
      </c>
      <c r="C3" s="1">
        <v>0.9</v>
      </c>
      <c r="D3" s="6">
        <v>0</v>
      </c>
      <c r="E3" s="6">
        <v>0.7</v>
      </c>
      <c r="F3" s="6">
        <v>0</v>
      </c>
      <c r="G3" s="6">
        <v>0.35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0.35</v>
      </c>
      <c r="N3" s="6">
        <v>0</v>
      </c>
      <c r="O3" s="6">
        <v>0.35</v>
      </c>
    </row>
    <row r="4" spans="1:15">
      <c r="A4" s="8" t="s">
        <v>77</v>
      </c>
      <c r="B4" t="s">
        <v>4</v>
      </c>
      <c r="C4" s="1">
        <v>1.1000000000000001</v>
      </c>
      <c r="D4" s="6">
        <v>0</v>
      </c>
      <c r="E4" s="6">
        <v>0.3</v>
      </c>
      <c r="F4" s="6">
        <v>0.35</v>
      </c>
      <c r="G4" s="6">
        <v>0.35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0.35</v>
      </c>
      <c r="N4" s="6">
        <v>0</v>
      </c>
      <c r="O4" s="6">
        <v>0.35</v>
      </c>
    </row>
    <row r="5" spans="1:15">
      <c r="A5" s="8" t="s">
        <v>77</v>
      </c>
      <c r="B5" t="s">
        <v>5</v>
      </c>
      <c r="C5" s="1">
        <v>1</v>
      </c>
      <c r="D5" s="6">
        <v>0</v>
      </c>
      <c r="E5" s="6">
        <v>0</v>
      </c>
      <c r="F5" s="6">
        <v>0.35</v>
      </c>
      <c r="G5" s="6">
        <v>0.35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0.35</v>
      </c>
      <c r="N5" s="6">
        <v>0</v>
      </c>
      <c r="O5" s="6">
        <v>0.35</v>
      </c>
    </row>
    <row r="6" spans="1:15">
      <c r="A6" s="8" t="s">
        <v>7</v>
      </c>
      <c r="B6" t="s">
        <v>2</v>
      </c>
      <c r="C6" s="5">
        <v>0.3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0.7</v>
      </c>
    </row>
    <row r="7" spans="1:15">
      <c r="A7" s="8" t="s">
        <v>7</v>
      </c>
      <c r="B7" t="s">
        <v>3</v>
      </c>
      <c r="C7" s="5">
        <v>1</v>
      </c>
      <c r="D7" s="6">
        <v>1</v>
      </c>
      <c r="E7" s="6">
        <v>0.7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</row>
    <row r="8" spans="1:15">
      <c r="A8" s="8" t="s">
        <v>7</v>
      </c>
      <c r="B8" t="s">
        <v>4</v>
      </c>
      <c r="C8" s="5">
        <v>0.7</v>
      </c>
      <c r="D8" s="6">
        <v>0</v>
      </c>
      <c r="E8" s="6">
        <v>0.3</v>
      </c>
      <c r="F8" s="6">
        <v>1</v>
      </c>
      <c r="G8" s="6">
        <v>0.7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</row>
    <row r="9" spans="1:15">
      <c r="A9" s="8" t="s">
        <v>7</v>
      </c>
      <c r="B9" t="s">
        <v>5</v>
      </c>
      <c r="C9" s="5">
        <v>0.3</v>
      </c>
      <c r="D9" s="6">
        <v>0</v>
      </c>
      <c r="E9" s="6">
        <v>0</v>
      </c>
      <c r="F9" s="6">
        <v>0</v>
      </c>
      <c r="G9" s="6">
        <v>0.3</v>
      </c>
      <c r="H9" s="6">
        <v>0.7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</row>
    <row r="10" spans="1:15">
      <c r="A10" s="8" t="s">
        <v>8</v>
      </c>
      <c r="B10" t="s">
        <v>2</v>
      </c>
      <c r="C10" s="6">
        <v>0.4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1</v>
      </c>
      <c r="M10" s="6">
        <v>0</v>
      </c>
      <c r="N10" s="6">
        <v>0</v>
      </c>
      <c r="O10" s="6">
        <v>0</v>
      </c>
    </row>
    <row r="11" spans="1:15">
      <c r="A11" s="8" t="s">
        <v>8</v>
      </c>
      <c r="B11" t="s">
        <v>3</v>
      </c>
      <c r="C11" s="6">
        <v>0.95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1</v>
      </c>
      <c r="N11" s="6">
        <v>0.7</v>
      </c>
      <c r="O11" s="6">
        <v>0</v>
      </c>
    </row>
    <row r="12" spans="1:15">
      <c r="A12" s="8" t="s">
        <v>8</v>
      </c>
      <c r="B12" t="s">
        <v>4</v>
      </c>
      <c r="C12" s="6">
        <v>0.75</v>
      </c>
      <c r="D12" s="6">
        <v>1</v>
      </c>
      <c r="E12" s="6">
        <v>0.7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0.3</v>
      </c>
      <c r="O12" s="6">
        <v>1</v>
      </c>
    </row>
    <row r="13" spans="1:15">
      <c r="A13" s="8" t="s">
        <v>8</v>
      </c>
      <c r="B13" t="s">
        <v>5</v>
      </c>
      <c r="C13" s="6">
        <v>0.4</v>
      </c>
      <c r="D13" s="6">
        <v>0</v>
      </c>
      <c r="E13" s="6">
        <v>0.3</v>
      </c>
      <c r="F13" s="6">
        <v>0.7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</row>
    <row r="14" spans="1:15">
      <c r="A14" s="8" t="s">
        <v>9</v>
      </c>
      <c r="B14" t="s">
        <v>2</v>
      </c>
      <c r="C14" s="6">
        <v>0.8</v>
      </c>
      <c r="D14" s="6">
        <v>1</v>
      </c>
      <c r="E14" s="6">
        <v>1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</row>
    <row r="15" spans="1:15">
      <c r="A15" s="8" t="s">
        <v>9</v>
      </c>
      <c r="B15" t="s">
        <v>3</v>
      </c>
      <c r="C15" s="6">
        <v>1</v>
      </c>
      <c r="D15" s="6">
        <v>0</v>
      </c>
      <c r="E15" s="6">
        <v>0</v>
      </c>
      <c r="F15" s="6">
        <v>1</v>
      </c>
      <c r="G15" s="6">
        <v>1</v>
      </c>
      <c r="H15" s="6">
        <v>1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</row>
    <row r="16" spans="1:15">
      <c r="A16" s="8" t="s">
        <v>9</v>
      </c>
      <c r="B16" t="s">
        <v>4</v>
      </c>
      <c r="C16" s="6">
        <v>1.1000000000000001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1</v>
      </c>
      <c r="J16" s="6">
        <v>1</v>
      </c>
      <c r="K16" s="6">
        <v>1</v>
      </c>
      <c r="L16" s="6">
        <v>1</v>
      </c>
      <c r="M16" s="6">
        <v>0</v>
      </c>
      <c r="N16" s="6">
        <v>0</v>
      </c>
      <c r="O16" s="6">
        <v>0</v>
      </c>
    </row>
    <row r="17" spans="1:15">
      <c r="A17" s="8" t="s">
        <v>9</v>
      </c>
      <c r="B17" t="s">
        <v>5</v>
      </c>
      <c r="C17" s="6">
        <v>0.9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1</v>
      </c>
      <c r="N17" s="6">
        <v>1</v>
      </c>
      <c r="O17" s="6">
        <v>1</v>
      </c>
    </row>
    <row r="18" spans="1:15">
      <c r="A18" t="s">
        <v>75</v>
      </c>
      <c r="B18" t="s">
        <v>2</v>
      </c>
      <c r="C18">
        <v>0.65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1</v>
      </c>
      <c r="O18" s="6">
        <v>0</v>
      </c>
    </row>
    <row r="19" spans="1:15">
      <c r="A19" t="s">
        <v>75</v>
      </c>
      <c r="B19" t="s">
        <v>3</v>
      </c>
      <c r="C19">
        <v>1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1</v>
      </c>
    </row>
    <row r="20" spans="1:15">
      <c r="A20" t="s">
        <v>75</v>
      </c>
      <c r="B20" t="s">
        <v>4</v>
      </c>
      <c r="C20">
        <v>1</v>
      </c>
      <c r="D20" s="6">
        <v>1</v>
      </c>
      <c r="E20" s="6">
        <v>0.7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</row>
    <row r="21" spans="1:15">
      <c r="A21" t="s">
        <v>75</v>
      </c>
      <c r="B21" t="s">
        <v>5</v>
      </c>
      <c r="C21">
        <v>0.60000000000000009</v>
      </c>
      <c r="D21" s="6">
        <v>0</v>
      </c>
      <c r="E21" s="6">
        <v>0.3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</row>
    <row r="22" spans="1:15">
      <c r="A22" s="8" t="s">
        <v>11</v>
      </c>
      <c r="B22" t="s">
        <v>2</v>
      </c>
      <c r="C22">
        <v>1</v>
      </c>
      <c r="D22" s="6">
        <v>0</v>
      </c>
      <c r="E22" s="6">
        <v>1</v>
      </c>
      <c r="F22" s="6">
        <v>1</v>
      </c>
      <c r="G22" s="6">
        <v>0.5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</row>
    <row r="23" spans="1:15">
      <c r="A23" s="8" t="s">
        <v>11</v>
      </c>
      <c r="B23" t="s">
        <v>3</v>
      </c>
      <c r="C23">
        <v>1.2</v>
      </c>
      <c r="D23" s="6">
        <v>0</v>
      </c>
      <c r="E23" s="6">
        <v>0</v>
      </c>
      <c r="F23" s="6">
        <v>0</v>
      </c>
      <c r="G23" s="6">
        <v>0.5</v>
      </c>
      <c r="H23" s="6">
        <v>1</v>
      </c>
      <c r="I23" s="6">
        <v>0.5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</row>
    <row r="24" spans="1:15">
      <c r="A24" s="8" t="s">
        <v>11</v>
      </c>
      <c r="B24" t="s">
        <v>4</v>
      </c>
      <c r="C24">
        <v>1.2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0.5</v>
      </c>
      <c r="J24" s="6">
        <v>1</v>
      </c>
      <c r="K24" s="6">
        <v>1</v>
      </c>
      <c r="L24" s="6">
        <v>0.5</v>
      </c>
      <c r="M24" s="6">
        <v>0</v>
      </c>
      <c r="N24" s="6">
        <v>0</v>
      </c>
      <c r="O24" s="6">
        <v>0</v>
      </c>
    </row>
    <row r="25" spans="1:15">
      <c r="A25" s="8" t="s">
        <v>11</v>
      </c>
      <c r="B25" t="s">
        <v>5</v>
      </c>
      <c r="C25">
        <v>1.1000000000000001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0.5</v>
      </c>
      <c r="M25" s="6">
        <v>1</v>
      </c>
      <c r="N25" s="6">
        <v>1</v>
      </c>
      <c r="O25" s="6">
        <v>0</v>
      </c>
    </row>
    <row r="26" spans="1:15">
      <c r="A26" s="8" t="s">
        <v>12</v>
      </c>
      <c r="B26" t="s">
        <v>2</v>
      </c>
      <c r="C26">
        <v>0.45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0.7</v>
      </c>
      <c r="N26" s="6">
        <v>0</v>
      </c>
      <c r="O26" s="6">
        <v>0</v>
      </c>
    </row>
    <row r="27" spans="1:15">
      <c r="A27" s="8" t="s">
        <v>12</v>
      </c>
      <c r="B27" t="s">
        <v>3</v>
      </c>
      <c r="C27">
        <v>0.8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0.3</v>
      </c>
      <c r="N27" s="6">
        <v>0.7</v>
      </c>
      <c r="O27" s="6">
        <v>0</v>
      </c>
    </row>
    <row r="28" spans="1:15">
      <c r="A28" s="8" t="s">
        <v>12</v>
      </c>
      <c r="B28" t="s">
        <v>4</v>
      </c>
      <c r="C28">
        <v>1.1000000000000001</v>
      </c>
      <c r="D28" s="6">
        <v>1</v>
      </c>
      <c r="E28" s="6">
        <v>1</v>
      </c>
      <c r="F28" s="6">
        <v>0.3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0.3</v>
      </c>
      <c r="O28" s="6">
        <v>1</v>
      </c>
    </row>
    <row r="29" spans="1:15">
      <c r="A29" s="8" t="s">
        <v>12</v>
      </c>
      <c r="B29" t="s">
        <v>5</v>
      </c>
      <c r="C29">
        <v>0.3</v>
      </c>
      <c r="D29" s="6">
        <v>0</v>
      </c>
      <c r="E29" s="6">
        <v>0</v>
      </c>
      <c r="F29" s="6">
        <v>0.7</v>
      </c>
      <c r="G29" s="6">
        <v>0.7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</row>
    <row r="30" spans="1:15">
      <c r="A30" s="8" t="s">
        <v>13</v>
      </c>
      <c r="B30" t="s">
        <v>2</v>
      </c>
      <c r="C30">
        <v>0.75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1</v>
      </c>
      <c r="N30" s="6">
        <v>0</v>
      </c>
      <c r="O30" s="6">
        <v>0</v>
      </c>
    </row>
    <row r="31" spans="1:15">
      <c r="A31" s="8" t="s">
        <v>13</v>
      </c>
      <c r="B31" t="s">
        <v>3</v>
      </c>
      <c r="C31">
        <v>1.1000000000000001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1</v>
      </c>
      <c r="O31" s="6">
        <v>0.3</v>
      </c>
    </row>
    <row r="32" spans="1:15">
      <c r="A32" s="8" t="s">
        <v>13</v>
      </c>
      <c r="B32" t="s">
        <v>4</v>
      </c>
      <c r="C32">
        <v>0.95000000000000007</v>
      </c>
      <c r="D32" s="6">
        <v>0.7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0.7</v>
      </c>
    </row>
    <row r="33" spans="1:15">
      <c r="A33" s="8" t="s">
        <v>13</v>
      </c>
      <c r="B33" t="s">
        <v>5</v>
      </c>
      <c r="C33">
        <v>0.75</v>
      </c>
      <c r="D33" s="6">
        <v>0.3</v>
      </c>
      <c r="E33" s="6">
        <v>0.3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</row>
    <row r="34" spans="1:15">
      <c r="A34" s="8" t="s">
        <v>14</v>
      </c>
      <c r="B34" t="s">
        <v>2</v>
      </c>
      <c r="C34">
        <v>0.85</v>
      </c>
      <c r="D34" s="6">
        <v>0</v>
      </c>
      <c r="E34" s="6">
        <v>0</v>
      </c>
      <c r="F34" s="6">
        <v>0.7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</row>
    <row r="35" spans="1:15">
      <c r="A35" s="8" t="s">
        <v>14</v>
      </c>
      <c r="B35" t="s">
        <v>3</v>
      </c>
      <c r="C35">
        <v>0.85</v>
      </c>
      <c r="D35" s="6">
        <v>0</v>
      </c>
      <c r="E35" s="6">
        <v>0</v>
      </c>
      <c r="F35" s="6">
        <v>0</v>
      </c>
      <c r="G35" s="6">
        <v>1</v>
      </c>
      <c r="H35" s="6">
        <v>0.7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</row>
    <row r="36" spans="1:15">
      <c r="A36" s="8" t="s">
        <v>14</v>
      </c>
      <c r="B36" t="s">
        <v>4</v>
      </c>
      <c r="C36">
        <v>0.85</v>
      </c>
      <c r="D36" s="6">
        <v>0</v>
      </c>
      <c r="E36" s="6">
        <v>0</v>
      </c>
      <c r="F36" s="6">
        <v>0</v>
      </c>
      <c r="G36" s="6">
        <v>0</v>
      </c>
      <c r="H36" s="6">
        <v>0.3</v>
      </c>
      <c r="I36" s="6">
        <v>1</v>
      </c>
      <c r="J36" s="6">
        <v>1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</row>
    <row r="37" spans="1:15">
      <c r="A37" s="8" t="s">
        <v>14</v>
      </c>
      <c r="B37" t="s">
        <v>5</v>
      </c>
      <c r="C37">
        <v>0.85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1</v>
      </c>
      <c r="L37" s="6">
        <v>1</v>
      </c>
      <c r="M37" s="6">
        <v>0</v>
      </c>
      <c r="N37" s="6">
        <v>0</v>
      </c>
      <c r="O37" s="6">
        <v>0</v>
      </c>
    </row>
    <row r="38" spans="1:15">
      <c r="A38" t="s">
        <v>62</v>
      </c>
      <c r="B38" t="s">
        <v>2</v>
      </c>
      <c r="C38">
        <v>0.4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0.7</v>
      </c>
    </row>
    <row r="39" spans="1:15">
      <c r="A39" t="s">
        <v>62</v>
      </c>
      <c r="B39" t="s">
        <v>3</v>
      </c>
      <c r="C39">
        <v>1.5</v>
      </c>
      <c r="D39" s="6">
        <v>1</v>
      </c>
      <c r="E39" s="6">
        <v>0.3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</row>
    <row r="40" spans="1:15">
      <c r="A40" t="s">
        <v>62</v>
      </c>
      <c r="B40" t="s">
        <v>4</v>
      </c>
      <c r="C40">
        <v>0.5</v>
      </c>
      <c r="D40" s="6">
        <v>0</v>
      </c>
      <c r="E40" s="6">
        <v>0.7</v>
      </c>
      <c r="F40" s="6">
        <v>0.7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</row>
    <row r="41" spans="1:15">
      <c r="A41" t="s">
        <v>62</v>
      </c>
      <c r="B41" t="s">
        <v>5</v>
      </c>
      <c r="C41">
        <v>0.2</v>
      </c>
      <c r="D41" s="6">
        <v>0</v>
      </c>
      <c r="E41" s="6">
        <v>0</v>
      </c>
      <c r="F41" s="6">
        <v>0.3</v>
      </c>
      <c r="G41" s="6">
        <v>0.7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</row>
    <row r="42" spans="1:15">
      <c r="A42" t="s">
        <v>63</v>
      </c>
      <c r="B42" t="s">
        <v>2</v>
      </c>
      <c r="C42">
        <v>0.4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0.7</v>
      </c>
    </row>
    <row r="43" spans="1:15">
      <c r="A43" t="s">
        <v>63</v>
      </c>
      <c r="B43" t="s">
        <v>3</v>
      </c>
      <c r="C43">
        <v>1.5</v>
      </c>
      <c r="D43" s="6">
        <v>1</v>
      </c>
      <c r="E43" s="6">
        <v>0.3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</row>
    <row r="44" spans="1:15">
      <c r="A44" t="s">
        <v>63</v>
      </c>
      <c r="B44" t="s">
        <v>4</v>
      </c>
      <c r="C44">
        <v>0.5</v>
      </c>
      <c r="D44" s="6">
        <v>0</v>
      </c>
      <c r="E44" s="6">
        <v>0.7</v>
      </c>
      <c r="F44" s="6">
        <v>0.7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</row>
    <row r="45" spans="1:15">
      <c r="A45" t="s">
        <v>63</v>
      </c>
      <c r="B45" t="s">
        <v>5</v>
      </c>
      <c r="C45">
        <v>0.2</v>
      </c>
      <c r="D45" s="6">
        <v>0</v>
      </c>
      <c r="E45" s="6">
        <v>0</v>
      </c>
      <c r="F45" s="6">
        <v>0.3</v>
      </c>
      <c r="G45" s="6">
        <v>0.7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</row>
    <row r="46" spans="1:15">
      <c r="A46" t="s">
        <v>74</v>
      </c>
      <c r="B46" t="s">
        <v>2</v>
      </c>
      <c r="C46">
        <v>0.54999999999999993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0.5</v>
      </c>
      <c r="L46" s="6">
        <v>0</v>
      </c>
      <c r="M46" s="6">
        <v>0</v>
      </c>
      <c r="N46" s="6">
        <v>0</v>
      </c>
      <c r="O46" s="6">
        <v>0</v>
      </c>
    </row>
    <row r="47" spans="1:15">
      <c r="A47" t="s">
        <v>74</v>
      </c>
      <c r="B47" t="s">
        <v>3</v>
      </c>
      <c r="C47">
        <v>1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1</v>
      </c>
      <c r="M47" s="6">
        <v>0.3</v>
      </c>
      <c r="N47" s="6">
        <v>0</v>
      </c>
      <c r="O47" s="6">
        <v>0</v>
      </c>
    </row>
    <row r="48" spans="1:15">
      <c r="A48" t="s">
        <v>74</v>
      </c>
      <c r="B48" t="s">
        <v>4</v>
      </c>
      <c r="C48">
        <v>0.9</v>
      </c>
      <c r="D48" s="6">
        <v>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0.7</v>
      </c>
      <c r="N48" s="6">
        <v>1</v>
      </c>
      <c r="O48" s="6">
        <v>0.5</v>
      </c>
    </row>
    <row r="49" spans="1:15">
      <c r="A49" t="s">
        <v>74</v>
      </c>
      <c r="B49" t="s">
        <v>5</v>
      </c>
      <c r="C49">
        <v>0.45</v>
      </c>
      <c r="D49" s="6">
        <v>0.5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</row>
    <row r="50" spans="1:15">
      <c r="A50" s="8" t="s">
        <v>18</v>
      </c>
      <c r="B50" t="s">
        <v>2</v>
      </c>
      <c r="C50">
        <v>0.65</v>
      </c>
      <c r="D50" s="6">
        <v>0</v>
      </c>
      <c r="E50" s="6">
        <v>1</v>
      </c>
      <c r="F50" s="6">
        <v>1</v>
      </c>
      <c r="G50" s="6">
        <v>0.5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</row>
    <row r="51" spans="1:15">
      <c r="A51" s="8" t="s">
        <v>18</v>
      </c>
      <c r="B51" t="s">
        <v>3</v>
      </c>
      <c r="C51">
        <v>1.1000000000000001</v>
      </c>
      <c r="D51" s="6">
        <v>0</v>
      </c>
      <c r="E51" s="6">
        <v>0</v>
      </c>
      <c r="F51" s="6">
        <v>0</v>
      </c>
      <c r="G51" s="6">
        <v>0.5</v>
      </c>
      <c r="H51" s="6">
        <v>0.5</v>
      </c>
      <c r="I51" s="6">
        <v>0.5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</row>
    <row r="52" spans="1:15">
      <c r="A52" s="8" t="s">
        <v>18</v>
      </c>
      <c r="B52" t="s">
        <v>4</v>
      </c>
      <c r="C52">
        <v>0.95</v>
      </c>
      <c r="D52" s="6">
        <v>0</v>
      </c>
      <c r="E52" s="6">
        <v>0</v>
      </c>
      <c r="F52" s="6">
        <v>0</v>
      </c>
      <c r="G52" s="6">
        <v>0</v>
      </c>
      <c r="H52" s="6">
        <v>0.5</v>
      </c>
      <c r="I52" s="6">
        <v>0.5</v>
      </c>
      <c r="J52" s="6">
        <v>0.5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</row>
    <row r="53" spans="1:15">
      <c r="A53" s="8" t="s">
        <v>18</v>
      </c>
      <c r="B53" t="s">
        <v>5</v>
      </c>
      <c r="C53">
        <v>0.65</v>
      </c>
      <c r="D53" s="6">
        <v>0</v>
      </c>
      <c r="E53" s="6">
        <v>0</v>
      </c>
      <c r="F53" s="6">
        <v>0</v>
      </c>
      <c r="G53" s="6">
        <v>0</v>
      </c>
      <c r="H53" s="6">
        <v>0.5</v>
      </c>
      <c r="I53" s="6">
        <v>0.5</v>
      </c>
      <c r="J53" s="6">
        <v>0.5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</row>
    <row r="54" spans="1:15">
      <c r="A54" t="s">
        <v>76</v>
      </c>
      <c r="B54" t="s">
        <v>2</v>
      </c>
      <c r="C54">
        <v>0.95</v>
      </c>
      <c r="D54" s="6">
        <v>0</v>
      </c>
      <c r="E54" s="6">
        <v>0</v>
      </c>
      <c r="F54" s="6">
        <v>1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</row>
    <row r="55" spans="1:15">
      <c r="A55" t="s">
        <v>76</v>
      </c>
      <c r="B55" t="s">
        <v>3</v>
      </c>
      <c r="C55">
        <v>1.05</v>
      </c>
      <c r="D55" s="6">
        <v>0</v>
      </c>
      <c r="E55" s="6">
        <v>0</v>
      </c>
      <c r="F55" s="6">
        <v>0</v>
      </c>
      <c r="G55" s="6">
        <v>1</v>
      </c>
      <c r="H55" s="6">
        <v>0.7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</row>
    <row r="56" spans="1:15">
      <c r="A56" t="s">
        <v>76</v>
      </c>
      <c r="B56" t="s">
        <v>4</v>
      </c>
      <c r="C56">
        <v>1.1000000000000001</v>
      </c>
      <c r="D56" s="6">
        <v>0</v>
      </c>
      <c r="E56" s="6">
        <v>0</v>
      </c>
      <c r="F56" s="6">
        <v>0</v>
      </c>
      <c r="G56" s="6">
        <v>0</v>
      </c>
      <c r="H56" s="6">
        <v>0.3</v>
      </c>
      <c r="I56" s="6">
        <v>1</v>
      </c>
      <c r="J56" s="6">
        <v>1</v>
      </c>
      <c r="K56" s="6">
        <v>1</v>
      </c>
      <c r="L56" s="6">
        <v>1</v>
      </c>
      <c r="M56" s="6">
        <v>0</v>
      </c>
      <c r="N56" s="6">
        <v>0</v>
      </c>
      <c r="O56" s="6">
        <v>0</v>
      </c>
    </row>
    <row r="57" spans="1:15">
      <c r="A57" t="s">
        <v>76</v>
      </c>
      <c r="B57" t="s">
        <v>5</v>
      </c>
      <c r="C57">
        <v>1</v>
      </c>
      <c r="D57" s="6">
        <v>0</v>
      </c>
      <c r="E57" s="6">
        <v>0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1</v>
      </c>
      <c r="N57" s="6">
        <v>0</v>
      </c>
      <c r="O57" s="6">
        <v>0</v>
      </c>
    </row>
    <row r="58" spans="1:15">
      <c r="A58" s="8" t="s">
        <v>22</v>
      </c>
      <c r="B58" t="s">
        <v>2</v>
      </c>
      <c r="C58">
        <v>0.5</v>
      </c>
      <c r="D58" s="6">
        <v>0</v>
      </c>
      <c r="E58" s="6">
        <v>0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1</v>
      </c>
      <c r="N58" s="6">
        <v>0</v>
      </c>
      <c r="O58" s="6">
        <v>0</v>
      </c>
    </row>
    <row r="59" spans="1:15">
      <c r="A59" s="8" t="s">
        <v>22</v>
      </c>
      <c r="B59" t="s">
        <v>3</v>
      </c>
      <c r="C59">
        <v>1</v>
      </c>
      <c r="D59" s="6">
        <v>0</v>
      </c>
      <c r="E59" s="6">
        <v>0</v>
      </c>
      <c r="F59" s="6">
        <v>0</v>
      </c>
      <c r="G59" s="6">
        <v>0</v>
      </c>
      <c r="H59" s="6">
        <v>0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1</v>
      </c>
      <c r="O59" s="6">
        <v>0.5</v>
      </c>
    </row>
    <row r="60" spans="1:15">
      <c r="A60" s="8" t="s">
        <v>22</v>
      </c>
      <c r="B60" t="s">
        <v>4</v>
      </c>
      <c r="C60">
        <v>0.9</v>
      </c>
      <c r="D60" s="6">
        <v>1</v>
      </c>
      <c r="E60" s="6">
        <v>1</v>
      </c>
      <c r="F60" s="6">
        <v>0.3</v>
      </c>
      <c r="G60" s="6">
        <v>0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</row>
    <row r="61" spans="1:15">
      <c r="A61" s="8" t="s">
        <v>22</v>
      </c>
      <c r="B61" t="s">
        <v>5</v>
      </c>
      <c r="C61">
        <v>0.3</v>
      </c>
      <c r="D61" s="6">
        <v>0</v>
      </c>
      <c r="E61" s="6">
        <v>0</v>
      </c>
      <c r="F61" s="6">
        <v>0.7</v>
      </c>
      <c r="G61" s="6">
        <v>0.3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</row>
    <row r="62" spans="1:15">
      <c r="A62" t="s">
        <v>69</v>
      </c>
      <c r="B62" t="s">
        <v>2</v>
      </c>
      <c r="C62">
        <v>0.65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1</v>
      </c>
    </row>
    <row r="63" spans="1:15">
      <c r="A63" t="s">
        <v>69</v>
      </c>
      <c r="B63" t="s">
        <v>3</v>
      </c>
      <c r="C63">
        <v>1.1000000000000001</v>
      </c>
      <c r="D63" s="6">
        <v>1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</row>
    <row r="64" spans="1:15">
      <c r="A64" t="s">
        <v>69</v>
      </c>
      <c r="B64" t="s">
        <v>4</v>
      </c>
      <c r="C64">
        <v>0.7</v>
      </c>
      <c r="D64" s="6">
        <v>0</v>
      </c>
      <c r="E64" s="6">
        <v>1</v>
      </c>
      <c r="F64" s="6">
        <v>0.7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</row>
    <row r="65" spans="1:15">
      <c r="A65" t="s">
        <v>69</v>
      </c>
      <c r="B65" t="s">
        <v>5</v>
      </c>
      <c r="C65">
        <v>0.2</v>
      </c>
      <c r="D65" s="6">
        <v>0</v>
      </c>
      <c r="E65" s="6">
        <v>0</v>
      </c>
      <c r="F65" s="6">
        <v>0.3</v>
      </c>
      <c r="G65" s="6">
        <v>0.5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</row>
    <row r="66" spans="1:15">
      <c r="A66" t="s">
        <v>70</v>
      </c>
      <c r="B66" t="s">
        <v>2</v>
      </c>
      <c r="C66">
        <v>0.35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0.7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</row>
    <row r="67" spans="1:15">
      <c r="A67" t="s">
        <v>70</v>
      </c>
      <c r="B67" t="s">
        <v>3</v>
      </c>
      <c r="C67">
        <v>0.8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1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</row>
    <row r="68" spans="1:15">
      <c r="A68" t="s">
        <v>70</v>
      </c>
      <c r="B68" t="s">
        <v>4</v>
      </c>
      <c r="C68">
        <v>0.7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1</v>
      </c>
      <c r="L68" s="6">
        <v>0.3</v>
      </c>
      <c r="M68" s="6">
        <v>0</v>
      </c>
      <c r="N68" s="6">
        <v>0</v>
      </c>
      <c r="O68" s="6">
        <v>0</v>
      </c>
    </row>
    <row r="69" spans="1:15">
      <c r="A69" t="s">
        <v>70</v>
      </c>
      <c r="B69" t="s">
        <v>5</v>
      </c>
      <c r="C69">
        <v>0.7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0.7</v>
      </c>
      <c r="M69" s="6">
        <v>0</v>
      </c>
      <c r="N69" s="6">
        <v>0</v>
      </c>
      <c r="O69" s="6">
        <v>0</v>
      </c>
    </row>
    <row r="70" spans="1:15">
      <c r="A70" t="s">
        <v>68</v>
      </c>
      <c r="B70" t="s">
        <v>2</v>
      </c>
      <c r="C70">
        <v>0.30000000000000004</v>
      </c>
      <c r="D70" s="6">
        <v>0</v>
      </c>
      <c r="E70" s="6">
        <v>0</v>
      </c>
      <c r="F70" s="6">
        <v>0.7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</row>
    <row r="71" spans="1:15">
      <c r="A71" t="s">
        <v>68</v>
      </c>
      <c r="B71" t="s">
        <v>3</v>
      </c>
      <c r="C71">
        <v>1.2</v>
      </c>
      <c r="D71" s="6">
        <v>0</v>
      </c>
      <c r="E71" s="6">
        <v>0</v>
      </c>
      <c r="F71" s="6">
        <v>0</v>
      </c>
      <c r="G71" s="6">
        <v>1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</row>
    <row r="72" spans="1:15">
      <c r="A72" t="s">
        <v>68</v>
      </c>
      <c r="B72" t="s">
        <v>4</v>
      </c>
      <c r="C72">
        <v>0.5</v>
      </c>
      <c r="D72" s="6">
        <v>0</v>
      </c>
      <c r="E72" s="6">
        <v>0</v>
      </c>
      <c r="F72" s="6">
        <v>0</v>
      </c>
      <c r="G72" s="6">
        <v>0</v>
      </c>
      <c r="H72" s="6">
        <v>1</v>
      </c>
      <c r="I72" s="6">
        <v>0.5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</row>
    <row r="73" spans="1:15">
      <c r="A73" t="s">
        <v>68</v>
      </c>
      <c r="B73" t="s">
        <v>5</v>
      </c>
      <c r="C73">
        <v>0.2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0.5</v>
      </c>
      <c r="J73" s="6">
        <v>0.5</v>
      </c>
      <c r="K73" s="6">
        <v>1</v>
      </c>
      <c r="L73" s="6">
        <v>0</v>
      </c>
      <c r="M73" s="6">
        <v>0</v>
      </c>
      <c r="N73" s="6">
        <v>0</v>
      </c>
      <c r="O73" s="6">
        <v>0</v>
      </c>
    </row>
    <row r="74" spans="1:15">
      <c r="A74" t="s">
        <v>71</v>
      </c>
      <c r="B74" t="s">
        <v>2</v>
      </c>
      <c r="C74">
        <v>0.4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1</v>
      </c>
      <c r="N74" s="6">
        <v>0</v>
      </c>
      <c r="O74" s="6">
        <v>0</v>
      </c>
    </row>
    <row r="75" spans="1:15">
      <c r="A75" t="s">
        <v>71</v>
      </c>
      <c r="B75" t="s">
        <v>3</v>
      </c>
      <c r="C75">
        <v>1.1000000000000001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1</v>
      </c>
      <c r="O75" s="6">
        <v>0.5</v>
      </c>
    </row>
    <row r="76" spans="1:15">
      <c r="A76" t="s">
        <v>71</v>
      </c>
      <c r="B76" t="s">
        <v>4</v>
      </c>
      <c r="C76">
        <v>0.8</v>
      </c>
      <c r="D76" s="6">
        <v>1</v>
      </c>
      <c r="E76" s="6">
        <v>1</v>
      </c>
      <c r="F76" s="6">
        <v>0.3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</row>
    <row r="77" spans="1:15">
      <c r="A77" t="s">
        <v>71</v>
      </c>
      <c r="B77" t="s">
        <v>5</v>
      </c>
      <c r="C77">
        <v>0.4</v>
      </c>
      <c r="D77" s="6">
        <v>0</v>
      </c>
      <c r="E77" s="6">
        <v>0</v>
      </c>
      <c r="F77" s="6">
        <v>0.7</v>
      </c>
      <c r="G77" s="6">
        <v>0.3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</row>
    <row r="78" spans="1:15">
      <c r="A78" t="s">
        <v>73</v>
      </c>
      <c r="B78" t="s">
        <v>2</v>
      </c>
      <c r="C78">
        <v>0.6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0.3</v>
      </c>
      <c r="L78" s="6">
        <v>0</v>
      </c>
      <c r="M78" s="6">
        <v>0</v>
      </c>
      <c r="N78" s="6">
        <v>0</v>
      </c>
      <c r="O78" s="6">
        <v>0</v>
      </c>
    </row>
    <row r="79" spans="1:15">
      <c r="A79" t="s">
        <v>73</v>
      </c>
      <c r="B79" t="s">
        <v>3</v>
      </c>
      <c r="C79">
        <v>0.8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0</v>
      </c>
      <c r="L79" s="6">
        <v>0.7</v>
      </c>
      <c r="M79" s="6">
        <v>0</v>
      </c>
      <c r="N79" s="6">
        <v>0</v>
      </c>
      <c r="O79" s="6">
        <v>0</v>
      </c>
    </row>
    <row r="80" spans="1:15">
      <c r="A80" t="s">
        <v>73</v>
      </c>
      <c r="B80" t="s">
        <v>4</v>
      </c>
      <c r="C80">
        <v>0.8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0</v>
      </c>
      <c r="J80" s="6">
        <v>0</v>
      </c>
      <c r="K80" s="6">
        <v>0</v>
      </c>
      <c r="L80" s="6">
        <v>0.3</v>
      </c>
      <c r="M80" s="6">
        <v>0.3</v>
      </c>
      <c r="N80" s="6">
        <v>0</v>
      </c>
      <c r="O80" s="6">
        <v>0</v>
      </c>
    </row>
    <row r="81" spans="1:15">
      <c r="A81" t="s">
        <v>73</v>
      </c>
      <c r="B81" t="s">
        <v>5</v>
      </c>
      <c r="C81">
        <v>0.3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0</v>
      </c>
      <c r="K81" s="6">
        <v>0</v>
      </c>
      <c r="L81" s="6">
        <v>0</v>
      </c>
      <c r="M81" s="6">
        <v>0.7</v>
      </c>
      <c r="N81" s="6">
        <v>0.3</v>
      </c>
      <c r="O81" s="6">
        <v>0</v>
      </c>
    </row>
    <row r="82" spans="1:15">
      <c r="A82" s="8" t="s">
        <v>29</v>
      </c>
      <c r="B82" t="s">
        <v>2</v>
      </c>
      <c r="C82">
        <v>0.2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0.7</v>
      </c>
    </row>
    <row r="83" spans="1:15">
      <c r="A83" s="8" t="s">
        <v>29</v>
      </c>
      <c r="B83" t="s">
        <v>3</v>
      </c>
      <c r="C83">
        <v>0.65</v>
      </c>
      <c r="D83" s="6">
        <v>1</v>
      </c>
      <c r="E83" s="6">
        <v>1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</row>
    <row r="84" spans="1:15">
      <c r="A84" s="8" t="s">
        <v>29</v>
      </c>
      <c r="B84" t="s">
        <v>4</v>
      </c>
      <c r="C84">
        <v>1</v>
      </c>
      <c r="D84" s="6">
        <v>0</v>
      </c>
      <c r="E84" s="6">
        <v>0</v>
      </c>
      <c r="F84" s="6">
        <v>1</v>
      </c>
      <c r="G84" s="6">
        <v>1</v>
      </c>
      <c r="H84" s="6">
        <v>0.3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</row>
    <row r="85" spans="1:15">
      <c r="A85" s="8" t="s">
        <v>29</v>
      </c>
      <c r="B85" t="s">
        <v>5</v>
      </c>
      <c r="C85">
        <v>0.55000000000000004</v>
      </c>
      <c r="D85" s="6">
        <v>0</v>
      </c>
      <c r="E85" s="6">
        <v>0</v>
      </c>
      <c r="F85" s="6">
        <v>0</v>
      </c>
      <c r="G85" s="6">
        <v>0</v>
      </c>
      <c r="H85" s="6">
        <v>0.7</v>
      </c>
      <c r="I85" s="6">
        <v>0.3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</row>
  </sheetData>
  <conditionalFormatting sqref="D2:O85">
    <cfRule type="cellIs" dxfId="1" priority="1" operator="greaterThan">
      <formula>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Domestic</vt:lpstr>
      <vt:lpstr>Import</vt:lpstr>
      <vt:lpstr>kc</vt:lpstr>
      <vt:lpstr>PhaseMonth</vt:lpstr>
      <vt:lpstr>ET0</vt:lpstr>
      <vt:lpstr>Sheet2</vt:lpstr>
      <vt:lpstr>Sheet1</vt:lpstr>
      <vt:lpstr>Info</vt:lpstr>
      <vt:lpstr>Info 2</vt:lpstr>
      <vt:lpstr>PhaseMonth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 Elborolosy</dc:creator>
  <cp:lastModifiedBy>Yara Elborolosy</cp:lastModifiedBy>
  <dcterms:created xsi:type="dcterms:W3CDTF">2025-04-14T13:16:11Z</dcterms:created>
  <dcterms:modified xsi:type="dcterms:W3CDTF">2025-10-24T09:10:29Z</dcterms:modified>
</cp:coreProperties>
</file>