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boroyy\Documents\Thesis Research\KAPSARC collaboration\Yara Input\Optimization\Model\Data\2023\"/>
    </mc:Choice>
  </mc:AlternateContent>
  <xr:revisionPtr revIDLastSave="0" documentId="13_ncr:1_{0AD3E6FA-41DD-4155-9088-42150E616C33}" xr6:coauthVersionLast="47" xr6:coauthVersionMax="47" xr10:uidLastSave="{00000000-0000-0000-0000-000000000000}"/>
  <bookViews>
    <workbookView xWindow="-1880" yWindow="-21710" windowWidth="38620" windowHeight="21100" activeTab="1" xr2:uid="{CC756716-CC3D-40C3-AB10-AE8F7059D865}"/>
  </bookViews>
  <sheets>
    <sheet name="Benefits" sheetId="4" r:id="rId1"/>
    <sheet name="Agriculture" sheetId="1" r:id="rId2"/>
    <sheet name="Industrial" sheetId="2" r:id="rId3"/>
    <sheet name="Domestic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D2" i="3"/>
  <c r="B2" i="3"/>
  <c r="B2" i="2"/>
</calcChain>
</file>

<file path=xl/sharedStrings.xml><?xml version="1.0" encoding="utf-8"?>
<sst xmlns="http://schemas.openxmlformats.org/spreadsheetml/2006/main" count="18" uniqueCount="15">
  <si>
    <t>Name</t>
  </si>
  <si>
    <t>Area (ha)</t>
  </si>
  <si>
    <t>SaudiAgr</t>
  </si>
  <si>
    <t>Demand (m3)</t>
  </si>
  <si>
    <t>SaudiInd</t>
  </si>
  <si>
    <t>SaudiDom</t>
  </si>
  <si>
    <t>IrrEff</t>
  </si>
  <si>
    <t>IndEff</t>
  </si>
  <si>
    <t>DomEff</t>
  </si>
  <si>
    <t>Users</t>
  </si>
  <si>
    <t>Benefit ($/cm)</t>
  </si>
  <si>
    <t>Domestic</t>
  </si>
  <si>
    <t>Industrial</t>
  </si>
  <si>
    <t>2060 Demand (m3)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</si>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</sst>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3" fontId="0" fillId="0" borderId="0" xfId="0" applyNumberFormat="1" applyAlignment="1">
      <alignment horizontal="right" wrapText="1"/>
    </xf>
    <xf numFmtId="44" fontId="0" fillId="0" borderId="0" xfId="1" applyFont="1"/>
    <xf numFmtId="3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C0152-641C-4792-8466-785D78F53EDC}">
  <dimension ref="A1:B3"/>
  <sheetViews>
    <sheetView workbookViewId="0">
      <selection activeCell="B2" sqref="B2"/>
    </sheetView>
  </sheetViews>
  <sheetFormatPr defaultRowHeight="14.4" x14ac:dyDescent="0.55000000000000004"/>
  <sheetData>
    <row r="1" spans="1:2" x14ac:dyDescent="0.55000000000000004">
      <c r="A1" t="s">
        <v>9</v>
      </c>
      <c r="B1" t="s">
        <v>10</v>
      </c>
    </row>
    <row r="2" spans="1:2" x14ac:dyDescent="0.55000000000000004">
      <c r="A2" t="s">
        <v>11</v>
      </c>
      <c r="B2" s="2">
        <v>1</v>
      </c>
    </row>
    <row r="3" spans="1:2" x14ac:dyDescent="0.55000000000000004">
      <c r="A3" t="s">
        <v>12</v>
      </c>
      <c r="B3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CE22-356D-48B6-91BA-461C2CC6D365}">
  <dimension ref="A1:C2"/>
  <sheetViews>
    <sheetView tabSelected="1" workbookViewId="0">
      <selection activeCell="C3" sqref="C3"/>
    </sheetView>
  </sheetViews>
  <sheetFormatPr defaultRowHeight="14.4" x14ac:dyDescent="0.55000000000000004"/>
  <sheetData>
    <row r="1" spans="1:3" x14ac:dyDescent="0.55000000000000004">
      <c r="A1" t="s">
        <v>0</v>
      </c>
      <c r="B1" t="s">
        <v>1</v>
      </c>
      <c r="C1" t="s">
        <v>6</v>
      </c>
    </row>
    <row r="2" spans="1:3" x14ac:dyDescent="0.55000000000000004">
      <c r="A2" t="s">
        <v>2</v>
      </c>
      <c r="B2">
        <f>960000</f>
        <v>960000</v>
      </c>
      <c r="C2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A833C-E735-4B28-9580-CE4D34186C2B}">
  <dimension ref="A1:D15"/>
  <sheetViews>
    <sheetView workbookViewId="0">
      <selection activeCell="C4" sqref="C4"/>
    </sheetView>
  </sheetViews>
  <sheetFormatPr defaultRowHeight="14.4" x14ac:dyDescent="0.55000000000000004"/>
  <cols>
    <col min="2" max="2" width="11.41796875" bestFit="1" customWidth="1"/>
    <col min="4" max="4" width="15.7890625" bestFit="1" customWidth="1"/>
  </cols>
  <sheetData>
    <row r="1" spans="1:4" x14ac:dyDescent="0.55000000000000004">
      <c r="A1" t="s">
        <v>14</v>
      </c>
      <c r="B1" t="s">
        <v>3</v>
      </c>
      <c r="C1" t="s">
        <v>7</v>
      </c>
      <c r="D1" t="s">
        <v>13</v>
      </c>
    </row>
    <row r="2" spans="1:4" x14ac:dyDescent="0.55000000000000004">
      <c r="A2" t="s">
        <v>4</v>
      </c>
      <c r="B2" s="1">
        <f>590000000</f>
        <v>590000000</v>
      </c>
      <c r="C2">
        <v>0.85</v>
      </c>
      <c r="D2" s="1">
        <v>4250000000</v>
      </c>
    </row>
    <row r="3" spans="1:4" x14ac:dyDescent="0.55000000000000004">
      <c r="B3" s="1"/>
      <c r="D3" s="1"/>
    </row>
    <row r="4" spans="1:4" x14ac:dyDescent="0.55000000000000004">
      <c r="B4" s="1"/>
      <c r="D4" s="1"/>
    </row>
    <row r="5" spans="1:4" x14ac:dyDescent="0.55000000000000004">
      <c r="B5" s="1"/>
      <c r="D5" s="1"/>
    </row>
    <row r="6" spans="1:4" x14ac:dyDescent="0.55000000000000004">
      <c r="B6" s="1"/>
      <c r="D6" s="1"/>
    </row>
    <row r="7" spans="1:4" x14ac:dyDescent="0.55000000000000004">
      <c r="B7" s="1"/>
      <c r="D7" s="1"/>
    </row>
    <row r="8" spans="1:4" x14ac:dyDescent="0.55000000000000004">
      <c r="B8" s="1"/>
      <c r="D8" s="1"/>
    </row>
    <row r="9" spans="1:4" x14ac:dyDescent="0.55000000000000004">
      <c r="B9" s="1"/>
      <c r="D9" s="1"/>
    </row>
    <row r="10" spans="1:4" x14ac:dyDescent="0.55000000000000004">
      <c r="B10" s="1"/>
      <c r="D10" s="1"/>
    </row>
    <row r="11" spans="1:4" x14ac:dyDescent="0.55000000000000004">
      <c r="B11" s="1"/>
      <c r="D11" s="1"/>
    </row>
    <row r="12" spans="1:4" x14ac:dyDescent="0.55000000000000004">
      <c r="B12" s="1"/>
      <c r="D12" s="1"/>
    </row>
    <row r="13" spans="1:4" x14ac:dyDescent="0.55000000000000004">
      <c r="B13" s="1"/>
      <c r="D13" s="1"/>
    </row>
    <row r="15" spans="1:4" x14ac:dyDescent="0.55000000000000004">
      <c r="B15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402A-B3BC-4DDD-8095-8BEC5720681A}">
  <dimension ref="A1:D13"/>
  <sheetViews>
    <sheetView workbookViewId="0">
      <selection activeCell="C2" sqref="C2"/>
    </sheetView>
  </sheetViews>
  <sheetFormatPr defaultRowHeight="14.4" x14ac:dyDescent="0.55000000000000004"/>
  <cols>
    <col min="2" max="2" width="13.15625" bestFit="1" customWidth="1"/>
    <col min="3" max="3" width="10.68359375" bestFit="1" customWidth="1"/>
    <col min="4" max="4" width="15.7890625" bestFit="1" customWidth="1"/>
    <col min="7" max="7" width="10.68359375" bestFit="1" customWidth="1"/>
    <col min="8" max="8" width="9.68359375" bestFit="1" customWidth="1"/>
  </cols>
  <sheetData>
    <row r="1" spans="1:4" x14ac:dyDescent="0.55000000000000004">
      <c r="A1" t="s">
        <v>14</v>
      </c>
      <c r="B1" t="s">
        <v>3</v>
      </c>
      <c r="C1" t="s">
        <v>8</v>
      </c>
      <c r="D1" t="s">
        <v>13</v>
      </c>
    </row>
    <row r="2" spans="1:4" x14ac:dyDescent="0.55000000000000004">
      <c r="A2" t="s">
        <v>5</v>
      </c>
      <c r="B2" s="1">
        <f>3580000000</f>
        <v>3580000000</v>
      </c>
      <c r="C2">
        <v>0.67</v>
      </c>
      <c r="D2" s="1">
        <f>8820000000</f>
        <v>8820000000</v>
      </c>
    </row>
    <row r="3" spans="1:4" x14ac:dyDescent="0.55000000000000004">
      <c r="B3" s="1"/>
      <c r="D3" s="1"/>
    </row>
    <row r="4" spans="1:4" x14ac:dyDescent="0.55000000000000004">
      <c r="B4" s="1"/>
      <c r="D4" s="1"/>
    </row>
    <row r="5" spans="1:4" x14ac:dyDescent="0.55000000000000004">
      <c r="B5" s="1"/>
      <c r="D5" s="1"/>
    </row>
    <row r="6" spans="1:4" x14ac:dyDescent="0.55000000000000004">
      <c r="B6" s="1"/>
      <c r="D6" s="1"/>
    </row>
    <row r="7" spans="1:4" x14ac:dyDescent="0.55000000000000004">
      <c r="B7" s="1"/>
      <c r="D7" s="1"/>
    </row>
    <row r="8" spans="1:4" x14ac:dyDescent="0.55000000000000004">
      <c r="B8" s="1"/>
      <c r="D8" s="1"/>
    </row>
    <row r="9" spans="1:4" x14ac:dyDescent="0.55000000000000004">
      <c r="B9" s="1"/>
      <c r="D9" s="1"/>
    </row>
    <row r="10" spans="1:4" x14ac:dyDescent="0.55000000000000004">
      <c r="B10" s="1"/>
      <c r="D10" s="1"/>
    </row>
    <row r="11" spans="1:4" x14ac:dyDescent="0.55000000000000004">
      <c r="B11" s="1"/>
      <c r="D11" s="1"/>
    </row>
    <row r="12" spans="1:4" x14ac:dyDescent="0.55000000000000004">
      <c r="B12" s="1"/>
      <c r="D12" s="1"/>
    </row>
    <row r="13" spans="1:4" x14ac:dyDescent="0.55000000000000004">
      <c r="B13" s="1"/>
      <c r="D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Benefits</vt:lpstr>
      <vt:lpstr>Agriculture</vt:lpstr>
      <vt:lpstr>Industrial</vt:lpstr>
      <vt:lpstr>Domestic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Yara Elborolosy</dc:creator>
  <cp:lastModifiedBy>Yara Elborolosy</cp:lastModifiedBy>
  <dcterms:created xsi:type="dcterms:W3CDTF">2025-04-16T13:34:29Z</dcterms:created>
  <dcterms:modified xsi:type="dcterms:W3CDTF">2025-10-16T12:33:52Z</dcterms:modified>
</cp:coreProperties>
</file>