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boroyy\Documents\Thesis Research\KAPSARC collaboration\Yara Input\Optimization\Model\Data\2023\"/>
    </mc:Choice>
  </mc:AlternateContent>
  <xr:revisionPtr revIDLastSave="0" documentId="13_ncr:1_{1CB004C4-507D-47B0-9612-C5235F908C19}" xr6:coauthVersionLast="47" xr6:coauthVersionMax="47" xr10:uidLastSave="{00000000-0000-0000-0000-000000000000}"/>
  <bookViews>
    <workbookView xWindow="9840" yWindow="-16200" windowWidth="14610" windowHeight="15585" xr2:uid="{22DDDE22-5F6B-4A75-9BF9-DF3F6890B006}"/>
  </bookViews>
  <sheets>
    <sheet name="PowerPlants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  <c r="D2" i="1"/>
  <c r="B4" i="2"/>
  <c r="B3" i="2"/>
  <c r="B2" i="2"/>
  <c r="B1" i="2"/>
</calcChain>
</file>

<file path=xl/sharedStrings.xml><?xml version="1.0" encoding="utf-8"?>
<sst xmlns="http://schemas.openxmlformats.org/spreadsheetml/2006/main" count="11" uniqueCount="11">
  <si>
    <t>Fuel</t>
  </si>
  <si>
    <t>Capacity (MW)</t>
  </si>
  <si>
    <t>NG</t>
  </si>
  <si>
    <t>Diesel</t>
  </si>
  <si>
    <t>Crude</t>
  </si>
  <si>
    <t>HFO</t>
  </si>
  <si>
    <t>Eff</t>
  </si>
  <si>
    <t>CO2 (t/kwh)</t>
  </si>
  <si>
    <t>Cost ($/kwh)</t>
  </si>
  <si>
    <t>Wind</t>
  </si>
  <si>
    <t>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</si>
</sst>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right" wrapText="1"/>
    </xf>
    <xf numFmtId="0" fontId="0" fillId="0" borderId="0" xfId="0" applyAlignment="1">
      <alignment horizontal="right" vertical="center" wrapText="1"/>
    </xf>
    <xf numFmtId="44" fontId="0" fillId="0" borderId="0" xfId="1" applyFont="1"/>
    <xf numFmtId="2" fontId="0" fillId="0" borderId="0" xfId="0" applyNumberFormat="1" applyAlignment="1">
      <alignment horizontal="right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B1F5B-AEAE-411B-94EA-C3707E813497}">
  <dimension ref="A1:H11"/>
  <sheetViews>
    <sheetView tabSelected="1" workbookViewId="0">
      <selection activeCell="D13" sqref="D13"/>
    </sheetView>
  </sheetViews>
  <sheetFormatPr defaultRowHeight="14.4" x14ac:dyDescent="0.55000000000000004"/>
  <cols>
    <col min="1" max="1" width="10.3125" bestFit="1" customWidth="1"/>
    <col min="2" max="2" width="12.05078125" bestFit="1" customWidth="1"/>
    <col min="3" max="3" width="14" bestFit="1" customWidth="1"/>
    <col min="5" max="5" width="11.20703125" bestFit="1" customWidth="1"/>
    <col min="8" max="8" width="20.578125" bestFit="1" customWidth="1"/>
  </cols>
  <sheetData>
    <row r="1" spans="1:8" x14ac:dyDescent="0.55000000000000004">
      <c r="A1" t="s">
        <v>0</v>
      </c>
      <c r="B1" t="s">
        <v>1</v>
      </c>
      <c r="C1" t="s">
        <v>8</v>
      </c>
      <c r="D1" t="s">
        <v>6</v>
      </c>
      <c r="E1" t="s">
        <v>7</v>
      </c>
    </row>
    <row r="2" spans="1:8" x14ac:dyDescent="0.55000000000000004">
      <c r="A2" t="s">
        <v>2</v>
      </c>
      <c r="B2">
        <v>50000</v>
      </c>
      <c r="C2" s="1">
        <v>0.03</v>
      </c>
      <c r="D2" s="4">
        <f>0.45^0.5</f>
        <v>0.67082039324993692</v>
      </c>
      <c r="E2" s="1">
        <v>5.8E-4</v>
      </c>
    </row>
    <row r="3" spans="1:8" x14ac:dyDescent="0.55000000000000004">
      <c r="A3" t="s">
        <v>3</v>
      </c>
      <c r="B3">
        <v>3000</v>
      </c>
      <c r="C3" s="1">
        <v>0.04</v>
      </c>
      <c r="D3" s="4">
        <f t="shared" ref="D3:D5" si="0">0.45^0.5</f>
        <v>0.67082039324993692</v>
      </c>
      <c r="E3" s="1">
        <v>5.9999999999999995E-4</v>
      </c>
    </row>
    <row r="4" spans="1:8" x14ac:dyDescent="0.55000000000000004">
      <c r="A4" t="s">
        <v>4</v>
      </c>
      <c r="B4">
        <v>17000</v>
      </c>
      <c r="C4" s="1">
        <v>0.04</v>
      </c>
      <c r="D4" s="4">
        <f t="shared" si="0"/>
        <v>0.67082039324993692</v>
      </c>
      <c r="E4" s="1">
        <v>7.5000000000000002E-4</v>
      </c>
    </row>
    <row r="5" spans="1:8" x14ac:dyDescent="0.55000000000000004">
      <c r="A5" t="s">
        <v>5</v>
      </c>
      <c r="B5">
        <v>20000</v>
      </c>
      <c r="C5" s="1">
        <v>0.03</v>
      </c>
      <c r="D5" s="4">
        <f t="shared" si="0"/>
        <v>0.67082039324993692</v>
      </c>
      <c r="E5" s="1">
        <v>6.8000000000000005E-4</v>
      </c>
    </row>
    <row r="6" spans="1:8" x14ac:dyDescent="0.55000000000000004">
      <c r="A6" t="s">
        <v>9</v>
      </c>
      <c r="B6">
        <v>400</v>
      </c>
      <c r="C6" s="1">
        <v>4.4999999999999998E-2</v>
      </c>
      <c r="D6" s="4">
        <f>0.4^0.5</f>
        <v>0.63245553203367588</v>
      </c>
      <c r="E6" s="1">
        <v>0</v>
      </c>
    </row>
    <row r="7" spans="1:8" x14ac:dyDescent="0.55000000000000004">
      <c r="A7" t="s">
        <v>10</v>
      </c>
      <c r="B7">
        <v>600</v>
      </c>
      <c r="C7" s="1">
        <v>0.03</v>
      </c>
      <c r="D7" s="2">
        <f>0.25^0.5</f>
        <v>0.5</v>
      </c>
      <c r="E7" s="1">
        <v>0</v>
      </c>
    </row>
    <row r="11" spans="1:8" x14ac:dyDescent="0.55000000000000004">
      <c r="H11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A07BC-3F27-4E2F-B89A-6B8BDD651A5F}">
  <dimension ref="A1:B4"/>
  <sheetViews>
    <sheetView workbookViewId="0">
      <selection sqref="A1:B4"/>
    </sheetView>
  </sheetViews>
  <sheetFormatPr defaultRowHeight="14.4" x14ac:dyDescent="0.55000000000000004"/>
  <sheetData>
    <row r="1" spans="1:2" x14ac:dyDescent="0.55000000000000004">
      <c r="A1" s="2">
        <v>0.52</v>
      </c>
      <c r="B1">
        <f>SQRT(A1)</f>
        <v>0.72111025509279791</v>
      </c>
    </row>
    <row r="2" spans="1:2" x14ac:dyDescent="0.55000000000000004">
      <c r="A2" s="2">
        <v>0.38500000000000001</v>
      </c>
      <c r="B2">
        <f>SQRT(A2)</f>
        <v>0.62048368229954287</v>
      </c>
    </row>
    <row r="3" spans="1:2" x14ac:dyDescent="0.55000000000000004">
      <c r="A3" s="2">
        <v>0.32500000000000001</v>
      </c>
      <c r="B3">
        <f>SQRT(A3)</f>
        <v>0.57008771254956903</v>
      </c>
    </row>
    <row r="4" spans="1:2" x14ac:dyDescent="0.55000000000000004">
      <c r="A4" s="2">
        <v>0.34</v>
      </c>
      <c r="B4">
        <f>SQRT(A4)</f>
        <v>0.5830951894845301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PowerPlants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 Elborolosy</dc:creator>
  <cp:lastModifiedBy>Yara Elborolosy</cp:lastModifiedBy>
  <dcterms:created xsi:type="dcterms:W3CDTF">2025-04-24T12:10:45Z</dcterms:created>
  <dcterms:modified xsi:type="dcterms:W3CDTF">2025-10-31T13:59:28Z</dcterms:modified>
</cp:coreProperties>
</file>