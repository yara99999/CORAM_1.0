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boroyy\Documents\Thesis Research\KAPSARC collaboration\Yara Input\Optimization\"/>
    </mc:Choice>
  </mc:AlternateContent>
  <xr:revisionPtr revIDLastSave="0" documentId="13_ncr:1_{D2A14A13-7FD0-4B52-9F4D-E7C778AD22BC}" xr6:coauthVersionLast="47" xr6:coauthVersionMax="47" xr10:uidLastSave="{00000000-0000-0000-0000-000000000000}"/>
  <bookViews>
    <workbookView xWindow="-96" yWindow="-96" windowWidth="20928" windowHeight="12432" xr2:uid="{90812B9F-1364-4BA8-B24F-7EC01904F3CB}"/>
  </bookViews>
  <sheets>
    <sheet name="Dom_Production" sheetId="1" r:id="rId1"/>
    <sheet name="Dom_Area" sheetId="2" r:id="rId2"/>
    <sheet name="Import_Production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1" l="1"/>
  <c r="H23" i="1" s="1"/>
  <c r="J23" i="1"/>
  <c r="G24" i="1"/>
  <c r="H24" i="1"/>
  <c r="J24" i="1"/>
  <c r="I33" i="3"/>
  <c r="I32" i="3"/>
  <c r="I31" i="3"/>
  <c r="I30" i="3"/>
  <c r="G30" i="3" a="1"/>
  <c r="G30" i="3" s="1"/>
  <c r="I34" i="3" l="1"/>
  <c r="G3" i="3" l="1"/>
  <c r="H3" i="3" s="1"/>
  <c r="G10" i="3"/>
  <c r="H10" i="3" s="1"/>
  <c r="G16" i="3"/>
  <c r="H16" i="3" s="1"/>
  <c r="G19" i="3"/>
  <c r="H19" i="3" s="1"/>
  <c r="G2" i="3"/>
  <c r="H2" i="3" s="1"/>
  <c r="G5" i="3"/>
  <c r="H5" i="3" s="1"/>
  <c r="G14" i="3"/>
  <c r="H14" i="3" s="1"/>
  <c r="G15" i="3"/>
  <c r="H15" i="3" s="1"/>
  <c r="G24" i="3"/>
  <c r="H24" i="3" s="1"/>
  <c r="G23" i="3"/>
  <c r="H23" i="3" s="1"/>
  <c r="G18" i="3"/>
  <c r="H18" i="3" s="1"/>
  <c r="G21" i="3"/>
  <c r="H21" i="3" s="1"/>
  <c r="G22" i="3"/>
  <c r="H22" i="3" s="1"/>
  <c r="G13" i="3"/>
  <c r="H13" i="3" s="1"/>
  <c r="G6" i="3"/>
  <c r="H6" i="3" s="1"/>
  <c r="G9" i="3"/>
  <c r="H9" i="3" s="1"/>
  <c r="G11" i="3"/>
  <c r="H11" i="3" s="1"/>
  <c r="G7" i="3"/>
  <c r="H7" i="3" s="1"/>
  <c r="G20" i="3"/>
  <c r="H20" i="3" s="1"/>
  <c r="G8" i="3"/>
  <c r="H8" i="3" s="1"/>
  <c r="G17" i="3"/>
  <c r="H17" i="3" s="1"/>
  <c r="G12" i="3"/>
  <c r="H12" i="3" s="1"/>
  <c r="G4" i="3"/>
  <c r="H4" i="3" s="1"/>
  <c r="H28" i="3" l="1"/>
  <c r="I19" i="3" s="1"/>
  <c r="J19" i="3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" i="1"/>
  <c r="I20" i="3" l="1"/>
  <c r="J20" i="3" s="1"/>
  <c r="I3" i="3"/>
  <c r="J3" i="3" s="1"/>
  <c r="I18" i="3"/>
  <c r="J18" i="3" s="1"/>
  <c r="I13" i="3"/>
  <c r="J13" i="3" s="1"/>
  <c r="I6" i="3"/>
  <c r="J6" i="3" s="1"/>
  <c r="I9" i="3"/>
  <c r="J9" i="3" s="1"/>
  <c r="I21" i="3"/>
  <c r="J21" i="3" s="1"/>
  <c r="I22" i="3"/>
  <c r="J22" i="3" s="1"/>
  <c r="I11" i="3"/>
  <c r="J11" i="3" s="1"/>
  <c r="I10" i="3"/>
  <c r="J10" i="3" s="1"/>
  <c r="I5" i="3"/>
  <c r="J5" i="3" s="1"/>
  <c r="I16" i="3"/>
  <c r="J16" i="3" s="1"/>
  <c r="I2" i="3"/>
  <c r="J2" i="3" s="1"/>
  <c r="I17" i="3"/>
  <c r="J17" i="3" s="1"/>
  <c r="I15" i="3"/>
  <c r="J15" i="3" s="1"/>
  <c r="I12" i="3"/>
  <c r="J12" i="3" s="1"/>
  <c r="I4" i="3"/>
  <c r="J4" i="3" s="1"/>
  <c r="I8" i="3"/>
  <c r="J8" i="3" s="1"/>
  <c r="I14" i="3"/>
  <c r="J14" i="3" s="1"/>
  <c r="I24" i="3"/>
  <c r="J24" i="3" s="1"/>
  <c r="I7" i="3"/>
  <c r="J7" i="3" s="1"/>
  <c r="I23" i="3"/>
  <c r="J23" i="3" s="1"/>
  <c r="H12" i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" i="1"/>
  <c r="H2" i="1" s="1"/>
  <c r="H25" i="1" l="1"/>
  <c r="H32" i="3"/>
  <c r="H33" i="3"/>
  <c r="H31" i="3"/>
  <c r="H30" i="3"/>
  <c r="I14" i="1"/>
  <c r="I23" i="1" l="1"/>
  <c r="I24" i="1"/>
  <c r="I21" i="1"/>
  <c r="I17" i="1"/>
  <c r="I4" i="1"/>
  <c r="I15" i="1"/>
  <c r="I3" i="1"/>
  <c r="I12" i="1"/>
  <c r="I18" i="1"/>
  <c r="I5" i="1"/>
  <c r="I7" i="1"/>
  <c r="I8" i="1"/>
  <c r="I13" i="1"/>
  <c r="I19" i="1"/>
  <c r="I16" i="1"/>
  <c r="I6" i="1"/>
  <c r="I22" i="1"/>
  <c r="I20" i="1"/>
  <c r="I9" i="1"/>
  <c r="I10" i="1"/>
  <c r="I2" i="1"/>
  <c r="I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<sst xmlns="http://schemas.openxmlformats.org/spreadsheetml/2006/main" count="135" uniqueCount="46">
  <si>
    <t>Crop</t>
  </si>
  <si>
    <t>Observed</t>
  </si>
  <si>
    <t>Predicted</t>
  </si>
  <si>
    <t>Coef_1</t>
  </si>
  <si>
    <t>Coef_2</t>
  </si>
  <si>
    <t>Barley</t>
  </si>
  <si>
    <t>Carrots</t>
  </si>
  <si>
    <t>Citrus</t>
  </si>
  <si>
    <t>Dates</t>
  </si>
  <si>
    <t>Eggplant</t>
  </si>
  <si>
    <t>Grapes</t>
  </si>
  <si>
    <t>MaizeFeed</t>
  </si>
  <si>
    <t>MaizeFood</t>
  </si>
  <si>
    <t>Okra</t>
  </si>
  <si>
    <t>Potatoes</t>
  </si>
  <si>
    <t>Tomatoes</t>
  </si>
  <si>
    <t>Watermelons</t>
  </si>
  <si>
    <t>Wheat</t>
  </si>
  <si>
    <t>Cucumbers and Gherkins</t>
  </si>
  <si>
    <t>Dry Onion</t>
  </si>
  <si>
    <t>Green Fodders</t>
  </si>
  <si>
    <t>Melons and Canteloupes</t>
  </si>
  <si>
    <t>Other Fruit</t>
  </si>
  <si>
    <t>Other Vegetables</t>
  </si>
  <si>
    <t>Sesame Seed</t>
  </si>
  <si>
    <t>Sorghum and Millet</t>
  </si>
  <si>
    <t>Share</t>
  </si>
  <si>
    <t>Num</t>
  </si>
  <si>
    <t>Banana</t>
  </si>
  <si>
    <t>Rice</t>
  </si>
  <si>
    <t>Alfalfa</t>
  </si>
  <si>
    <t>Cucumbers</t>
  </si>
  <si>
    <t>Dry</t>
  </si>
  <si>
    <t>Other</t>
  </si>
  <si>
    <t>Melons</t>
  </si>
  <si>
    <t>Millet</t>
  </si>
  <si>
    <t>Sesame</t>
  </si>
  <si>
    <t>Sorghum</t>
  </si>
  <si>
    <t>Fodder</t>
  </si>
  <si>
    <t>Cucumber</t>
  </si>
  <si>
    <t>Mango</t>
  </si>
  <si>
    <t>Olive</t>
  </si>
  <si>
    <t>Pomegranate</t>
  </si>
  <si>
    <t>Watermelon</t>
  </si>
  <si>
    <t>Zucchini</t>
  </si>
  <si>
    <t>Other Grain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</si>
</sst>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lboroyy\Documents\Thesis%20Research\KAPSARC%20collaboration\Yara%20Input\Agr.%20Production%202015-2020.xlsx" TargetMode="External"/><Relationship Id="rId1" Type="http://schemas.openxmlformats.org/officeDocument/2006/relationships/externalLinkPath" Target="/Users/elboroyy/Documents/Thesis%20Research/KAPSARC%20collaboration/Yara%20Input/Agr.%20Production%202015-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tional"/>
      <sheetName val="Regional"/>
      <sheetName val="Vegetables"/>
      <sheetName val="Grains"/>
      <sheetName val="Fodder"/>
      <sheetName val="Fruit Trees"/>
      <sheetName val="Palm Trees"/>
      <sheetName val="Livestock"/>
      <sheetName val="References"/>
    </sheetNames>
    <sheetDataSet>
      <sheetData sheetId="0"/>
      <sheetData sheetId="1">
        <row r="43">
          <cell r="G43">
            <v>1206600.2649999999</v>
          </cell>
        </row>
        <row r="44">
          <cell r="G44">
            <v>11650102.856000001</v>
          </cell>
        </row>
        <row r="46">
          <cell r="G46">
            <v>1779913.1359999999</v>
          </cell>
        </row>
        <row r="47">
          <cell r="G47">
            <v>1719137.5970000001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17A07-F965-406B-9AC9-242DE7474298}">
  <dimension ref="A1:S25"/>
  <sheetViews>
    <sheetView tabSelected="1" workbookViewId="0">
      <selection activeCell="A6" sqref="A6:XFD6"/>
    </sheetView>
  </sheetViews>
  <sheetFormatPr defaultRowHeight="14.4" x14ac:dyDescent="0.55000000000000004"/>
  <cols>
    <col min="1" max="1" width="15.734375" bestFit="1" customWidth="1"/>
    <col min="6" max="6" width="9.89453125" bestFit="1" customWidth="1"/>
    <col min="8" max="8" width="11.68359375" bestFit="1" customWidth="1"/>
  </cols>
  <sheetData>
    <row r="1" spans="1:1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27</v>
      </c>
      <c r="I1" t="s">
        <v>26</v>
      </c>
    </row>
    <row r="2" spans="1:19" x14ac:dyDescent="0.55000000000000004">
      <c r="A2" t="s">
        <v>28</v>
      </c>
      <c r="B2">
        <v>3.5000000000000001E-3</v>
      </c>
      <c r="C2">
        <v>3.5000000000000001E-3</v>
      </c>
      <c r="D2">
        <v>0.63229999999999997</v>
      </c>
      <c r="E2">
        <v>-0.73640000000000005</v>
      </c>
      <c r="F2" s="1">
        <v>2165</v>
      </c>
      <c r="G2">
        <f>F2/1000</f>
        <v>2.165</v>
      </c>
      <c r="H2">
        <f>D2*EXP(G2*E2)</f>
        <v>0.12838813302545599</v>
      </c>
      <c r="I2">
        <f t="shared" ref="I2:I22" si="0">H2/H$25</f>
        <v>3.4991982255528843E-3</v>
      </c>
      <c r="J2">
        <f>0.8*B2</f>
        <v>2.8000000000000004E-3</v>
      </c>
      <c r="O2" t="s">
        <v>0</v>
      </c>
      <c r="P2" t="s">
        <v>1</v>
      </c>
      <c r="Q2" t="s">
        <v>2</v>
      </c>
      <c r="R2" t="s">
        <v>3</v>
      </c>
      <c r="S2" t="s">
        <v>4</v>
      </c>
    </row>
    <row r="3" spans="1:19" x14ac:dyDescent="0.55000000000000004">
      <c r="A3" t="s">
        <v>7</v>
      </c>
      <c r="B3">
        <v>1.5299999999999999E-2</v>
      </c>
      <c r="C3">
        <v>1.5299999999999999E-2</v>
      </c>
      <c r="D3">
        <v>0.77600000000000002</v>
      </c>
      <c r="E3">
        <v>-0.26700000000000002</v>
      </c>
      <c r="F3" s="1">
        <v>1213.9333999999999</v>
      </c>
      <c r="G3">
        <f t="shared" ref="G3:G22" si="1">F3/1000</f>
        <v>1.2139333999999999</v>
      </c>
      <c r="H3">
        <f t="shared" ref="H3:H22" si="2">D3*EXP(G3*E3)</f>
        <v>0.56117472084110187</v>
      </c>
      <c r="I3">
        <f t="shared" si="0"/>
        <v>1.5294728111693754E-2</v>
      </c>
      <c r="J3">
        <f t="shared" ref="J3:J22" si="3">0.8*B3</f>
        <v>1.2240000000000001E-2</v>
      </c>
      <c r="O3" t="s">
        <v>30</v>
      </c>
      <c r="P3">
        <v>0.25879999999999997</v>
      </c>
      <c r="Q3">
        <v>0.25879999999999997</v>
      </c>
      <c r="R3">
        <v>2.6356999999999999</v>
      </c>
      <c r="S3">
        <v>1.4878</v>
      </c>
    </row>
    <row r="4" spans="1:19" x14ac:dyDescent="0.55000000000000004">
      <c r="A4" t="s">
        <v>39</v>
      </c>
      <c r="B4">
        <v>2.2000000000000001E-3</v>
      </c>
      <c r="C4">
        <v>2.2000000000000001E-3</v>
      </c>
      <c r="D4">
        <v>0.25690000000000002</v>
      </c>
      <c r="E4">
        <v>-0.80069999999999997</v>
      </c>
      <c r="F4" s="1">
        <v>1445.8</v>
      </c>
      <c r="G4">
        <f t="shared" si="1"/>
        <v>1.4458</v>
      </c>
      <c r="H4">
        <f t="shared" si="2"/>
        <v>8.0723912437462894E-2</v>
      </c>
      <c r="I4">
        <f t="shared" si="0"/>
        <v>2.2001174446928864E-3</v>
      </c>
      <c r="J4">
        <f t="shared" si="3"/>
        <v>1.7600000000000003E-3</v>
      </c>
      <c r="O4" t="s">
        <v>7</v>
      </c>
      <c r="P4">
        <v>1.61E-2</v>
      </c>
      <c r="Q4">
        <v>1.61E-2</v>
      </c>
      <c r="R4">
        <v>0.72109999999999996</v>
      </c>
      <c r="S4">
        <v>-0.31580000000000003</v>
      </c>
    </row>
    <row r="5" spans="1:19" x14ac:dyDescent="0.55000000000000004">
      <c r="A5" t="s">
        <v>8</v>
      </c>
      <c r="B5">
        <v>0.188</v>
      </c>
      <c r="C5">
        <v>0.18790000000000001</v>
      </c>
      <c r="D5">
        <v>1.1873</v>
      </c>
      <c r="E5">
        <v>0.45329999999999998</v>
      </c>
      <c r="F5" s="1">
        <v>3880.7</v>
      </c>
      <c r="G5">
        <f t="shared" si="1"/>
        <v>3.8807</v>
      </c>
      <c r="H5">
        <f t="shared" si="2"/>
        <v>6.8950456481148601</v>
      </c>
      <c r="I5">
        <f t="shared" si="0"/>
        <v>0.18792337678285173</v>
      </c>
      <c r="J5">
        <f t="shared" si="3"/>
        <v>0.15040000000000001</v>
      </c>
      <c r="O5" t="s">
        <v>31</v>
      </c>
      <c r="P5">
        <v>2.3E-3</v>
      </c>
      <c r="Q5">
        <v>2.3E-3</v>
      </c>
      <c r="R5">
        <v>0.22</v>
      </c>
      <c r="S5">
        <v>-0.8014</v>
      </c>
    </row>
    <row r="6" spans="1:19" x14ac:dyDescent="0.55000000000000004">
      <c r="A6" t="s">
        <v>19</v>
      </c>
      <c r="B6">
        <v>3.1E-2</v>
      </c>
      <c r="C6">
        <v>3.1E-2</v>
      </c>
      <c r="D6">
        <v>1.0709</v>
      </c>
      <c r="E6">
        <v>6.5100000000000005E-2</v>
      </c>
      <c r="F6" s="1">
        <v>922.9</v>
      </c>
      <c r="G6">
        <f t="shared" si="1"/>
        <v>0.92289999999999994</v>
      </c>
      <c r="H6">
        <f t="shared" si="2"/>
        <v>1.1372126293925471</v>
      </c>
      <c r="I6">
        <f t="shared" si="0"/>
        <v>3.0994550049713191E-2</v>
      </c>
      <c r="J6">
        <f t="shared" si="3"/>
        <v>2.4800000000000003E-2</v>
      </c>
      <c r="O6" t="s">
        <v>8</v>
      </c>
      <c r="P6">
        <v>0.1971</v>
      </c>
      <c r="Q6">
        <v>0.1971</v>
      </c>
      <c r="R6">
        <v>1.1839</v>
      </c>
      <c r="S6">
        <v>0.4194</v>
      </c>
    </row>
    <row r="7" spans="1:19" x14ac:dyDescent="0.55000000000000004">
      <c r="A7" t="s">
        <v>9</v>
      </c>
      <c r="B7">
        <v>5.7999999999999996E-3</v>
      </c>
      <c r="C7">
        <v>5.7999999999999996E-3</v>
      </c>
      <c r="D7">
        <v>0.48859999999999998</v>
      </c>
      <c r="E7">
        <v>-0.6038</v>
      </c>
      <c r="F7" s="1">
        <v>1377.1</v>
      </c>
      <c r="G7">
        <f t="shared" si="1"/>
        <v>1.3771</v>
      </c>
      <c r="H7">
        <f t="shared" si="2"/>
        <v>0.21273583374066193</v>
      </c>
      <c r="I7">
        <f t="shared" si="0"/>
        <v>5.7980814456523155E-3</v>
      </c>
      <c r="J7">
        <f t="shared" si="3"/>
        <v>4.64E-3</v>
      </c>
      <c r="O7" t="s">
        <v>32</v>
      </c>
      <c r="P7">
        <v>3.2500000000000001E-2</v>
      </c>
      <c r="Q7">
        <v>3.2500000000000001E-2</v>
      </c>
      <c r="R7">
        <v>0.99690000000000001</v>
      </c>
      <c r="S7">
        <v>-4.1000000000000003E-3</v>
      </c>
    </row>
    <row r="8" spans="1:19" x14ac:dyDescent="0.55000000000000004">
      <c r="A8" t="s">
        <v>38</v>
      </c>
      <c r="B8">
        <v>0.24679999999999999</v>
      </c>
      <c r="C8">
        <v>0.2467</v>
      </c>
      <c r="D8">
        <v>2.8734000000000002</v>
      </c>
      <c r="E8">
        <v>1.5524</v>
      </c>
      <c r="F8" s="1">
        <v>739.24066780412409</v>
      </c>
      <c r="G8">
        <f t="shared" si="1"/>
        <v>0.73924066780412412</v>
      </c>
      <c r="H8">
        <f t="shared" si="2"/>
        <v>9.0529729840804318</v>
      </c>
      <c r="I8">
        <f t="shared" si="0"/>
        <v>0.24673734445216602</v>
      </c>
      <c r="J8">
        <f t="shared" si="3"/>
        <v>0.19744</v>
      </c>
      <c r="O8" t="s">
        <v>9</v>
      </c>
      <c r="P8">
        <v>6.1000000000000004E-3</v>
      </c>
      <c r="Q8">
        <v>6.1000000000000004E-3</v>
      </c>
      <c r="R8">
        <v>0.4405</v>
      </c>
      <c r="S8">
        <v>-0.62860000000000005</v>
      </c>
    </row>
    <row r="9" spans="1:19" x14ac:dyDescent="0.55000000000000004">
      <c r="A9" t="s">
        <v>10</v>
      </c>
      <c r="B9">
        <v>1.21E-2</v>
      </c>
      <c r="C9">
        <v>1.21E-2</v>
      </c>
      <c r="D9">
        <v>0.94279999999999997</v>
      </c>
      <c r="E9">
        <v>-0.22370000000000001</v>
      </c>
      <c r="F9" s="1">
        <v>3368.4</v>
      </c>
      <c r="G9">
        <f t="shared" si="1"/>
        <v>3.3684000000000003</v>
      </c>
      <c r="H9">
        <f t="shared" si="2"/>
        <v>0.44378627816621025</v>
      </c>
      <c r="I9">
        <f t="shared" si="0"/>
        <v>1.2095324704005339E-2</v>
      </c>
      <c r="J9">
        <f t="shared" si="3"/>
        <v>9.6800000000000011E-3</v>
      </c>
      <c r="O9" t="s">
        <v>10</v>
      </c>
      <c r="P9">
        <v>1.2699999999999999E-2</v>
      </c>
      <c r="Q9">
        <v>1.2699999999999999E-2</v>
      </c>
      <c r="R9">
        <v>0.92710000000000004</v>
      </c>
      <c r="S9">
        <v>-0.2591</v>
      </c>
    </row>
    <row r="10" spans="1:19" x14ac:dyDescent="0.55000000000000004">
      <c r="A10" t="s">
        <v>11</v>
      </c>
      <c r="B10">
        <v>5.0000000000000001E-3</v>
      </c>
      <c r="C10">
        <v>5.0000000000000001E-3</v>
      </c>
      <c r="D10">
        <v>0.38269999999999998</v>
      </c>
      <c r="E10">
        <v>-0.60770000000000002</v>
      </c>
      <c r="F10" s="1">
        <v>1210.7</v>
      </c>
      <c r="G10">
        <f t="shared" si="1"/>
        <v>1.2107000000000001</v>
      </c>
      <c r="H10">
        <f t="shared" si="2"/>
        <v>0.1833705561383222</v>
      </c>
      <c r="I10">
        <f t="shared" si="0"/>
        <v>4.9977354568326061E-3</v>
      </c>
      <c r="J10">
        <f t="shared" si="3"/>
        <v>4.0000000000000001E-3</v>
      </c>
      <c r="O10" t="s">
        <v>33</v>
      </c>
      <c r="P10">
        <v>1.66E-2</v>
      </c>
      <c r="Q10">
        <v>1.66E-2</v>
      </c>
      <c r="R10">
        <v>0.68169999999999997</v>
      </c>
      <c r="S10">
        <v>-0.2944</v>
      </c>
    </row>
    <row r="11" spans="1:19" x14ac:dyDescent="0.55000000000000004">
      <c r="A11" t="s">
        <v>12</v>
      </c>
      <c r="B11">
        <v>5.0000000000000001E-3</v>
      </c>
      <c r="C11">
        <v>5.0000000000000001E-3</v>
      </c>
      <c r="D11">
        <v>0.38279999999999997</v>
      </c>
      <c r="E11">
        <v>-0.6079</v>
      </c>
      <c r="F11" s="1">
        <v>1210.7</v>
      </c>
      <c r="G11">
        <f t="shared" si="1"/>
        <v>1.2107000000000001</v>
      </c>
      <c r="H11">
        <f t="shared" si="2"/>
        <v>0.18337406352747415</v>
      </c>
      <c r="I11">
        <f t="shared" si="0"/>
        <v>4.9978310501682796E-3</v>
      </c>
      <c r="J11">
        <f t="shared" si="3"/>
        <v>4.0000000000000001E-3</v>
      </c>
      <c r="O11" t="s">
        <v>11</v>
      </c>
      <c r="P11">
        <v>5.1999999999999998E-3</v>
      </c>
      <c r="Q11">
        <v>5.1999999999999998E-3</v>
      </c>
      <c r="R11">
        <v>0.33779999999999999</v>
      </c>
      <c r="S11">
        <v>-0.62350000000000005</v>
      </c>
    </row>
    <row r="12" spans="1:19" x14ac:dyDescent="0.55000000000000004">
      <c r="A12" t="s">
        <v>40</v>
      </c>
      <c r="B12">
        <v>9.4999999999999998E-3</v>
      </c>
      <c r="C12">
        <v>9.4999999999999998E-3</v>
      </c>
      <c r="D12">
        <v>0.82210000000000005</v>
      </c>
      <c r="E12">
        <v>-0.39639999999999997</v>
      </c>
      <c r="F12" s="1">
        <v>2165</v>
      </c>
      <c r="G12">
        <f t="shared" si="1"/>
        <v>2.165</v>
      </c>
      <c r="H12">
        <f t="shared" si="2"/>
        <v>0.34850620752247585</v>
      </c>
      <c r="I12">
        <f t="shared" si="0"/>
        <v>9.498481473478702E-3</v>
      </c>
      <c r="J12">
        <f t="shared" si="3"/>
        <v>7.6E-3</v>
      </c>
      <c r="O12" t="s">
        <v>12</v>
      </c>
      <c r="P12">
        <v>5.1999999999999998E-3</v>
      </c>
      <c r="Q12">
        <v>5.1999999999999998E-3</v>
      </c>
      <c r="R12">
        <v>0.33779999999999999</v>
      </c>
      <c r="S12">
        <v>-0.62350000000000005</v>
      </c>
    </row>
    <row r="13" spans="1:19" x14ac:dyDescent="0.55000000000000004">
      <c r="A13" t="s">
        <v>41</v>
      </c>
      <c r="B13">
        <v>3.39E-2</v>
      </c>
      <c r="C13">
        <v>3.39E-2</v>
      </c>
      <c r="D13">
        <v>1.0391999999999999</v>
      </c>
      <c r="E13">
        <v>8.2900000000000001E-2</v>
      </c>
      <c r="F13" s="1">
        <v>2165</v>
      </c>
      <c r="G13">
        <f t="shared" si="1"/>
        <v>2.165</v>
      </c>
      <c r="H13">
        <f t="shared" si="2"/>
        <v>1.2434996295774841</v>
      </c>
      <c r="I13">
        <f t="shared" si="0"/>
        <v>3.3891385401098269E-2</v>
      </c>
      <c r="J13">
        <f t="shared" si="3"/>
        <v>2.7120000000000002E-2</v>
      </c>
      <c r="O13" t="s">
        <v>34</v>
      </c>
      <c r="P13">
        <v>6.4999999999999997E-3</v>
      </c>
      <c r="Q13">
        <v>6.4999999999999997E-3</v>
      </c>
      <c r="R13">
        <v>0.41699999999999998</v>
      </c>
      <c r="S13">
        <v>-0.58960000000000001</v>
      </c>
    </row>
    <row r="14" spans="1:19" x14ac:dyDescent="0.55000000000000004">
      <c r="A14" t="s">
        <v>22</v>
      </c>
      <c r="B14">
        <v>6.8699999999999997E-2</v>
      </c>
      <c r="C14">
        <v>6.8699999999999997E-2</v>
      </c>
      <c r="D14">
        <v>1.1849000000000001</v>
      </c>
      <c r="E14">
        <v>0.34849999999999998</v>
      </c>
      <c r="F14" s="1">
        <v>2165</v>
      </c>
      <c r="G14">
        <f t="shared" si="1"/>
        <v>2.165</v>
      </c>
      <c r="H14">
        <f t="shared" si="2"/>
        <v>2.5197530050246661</v>
      </c>
      <c r="I14">
        <f t="shared" si="0"/>
        <v>6.8675468956820626E-2</v>
      </c>
      <c r="J14">
        <f t="shared" si="3"/>
        <v>5.4960000000000002E-2</v>
      </c>
      <c r="O14" t="s">
        <v>35</v>
      </c>
      <c r="P14">
        <v>1.4E-3</v>
      </c>
      <c r="Q14">
        <v>1.4E-3</v>
      </c>
      <c r="R14">
        <v>9.2200000000000004E-2</v>
      </c>
      <c r="S14">
        <v>-0.69920000000000004</v>
      </c>
    </row>
    <row r="15" spans="1:19" x14ac:dyDescent="0.55000000000000004">
      <c r="A15" t="s">
        <v>45</v>
      </c>
      <c r="B15">
        <v>1.5800000000000002E-2</v>
      </c>
      <c r="C15">
        <v>1.5800000000000002E-2</v>
      </c>
      <c r="D15">
        <v>0.74409999999999998</v>
      </c>
      <c r="E15">
        <v>-0.24859999999999999</v>
      </c>
      <c r="F15" s="1">
        <v>1006</v>
      </c>
      <c r="G15">
        <f t="shared" si="1"/>
        <v>1.006</v>
      </c>
      <c r="H15">
        <f t="shared" si="2"/>
        <v>0.57945258239584485</v>
      </c>
      <c r="I15">
        <f t="shared" si="0"/>
        <v>1.5792888332674431E-2</v>
      </c>
      <c r="J15">
        <f t="shared" si="3"/>
        <v>1.2640000000000002E-2</v>
      </c>
      <c r="O15" t="s">
        <v>13</v>
      </c>
      <c r="P15">
        <v>2.7000000000000001E-3</v>
      </c>
      <c r="Q15">
        <v>2.7000000000000001E-3</v>
      </c>
      <c r="R15">
        <v>0.89510000000000001</v>
      </c>
      <c r="S15">
        <v>-0.51349999999999996</v>
      </c>
    </row>
    <row r="16" spans="1:19" x14ac:dyDescent="0.55000000000000004">
      <c r="A16" t="s">
        <v>23</v>
      </c>
      <c r="B16">
        <v>4.1500000000000002E-2</v>
      </c>
      <c r="C16">
        <v>4.1500000000000002E-2</v>
      </c>
      <c r="D16">
        <v>1.1106</v>
      </c>
      <c r="E16">
        <v>0.18820000000000001</v>
      </c>
      <c r="F16" s="1">
        <v>1675</v>
      </c>
      <c r="G16">
        <f t="shared" si="1"/>
        <v>1.675</v>
      </c>
      <c r="H16">
        <f t="shared" si="2"/>
        <v>1.5221676581209367</v>
      </c>
      <c r="I16">
        <f t="shared" si="0"/>
        <v>4.1486438370707465E-2</v>
      </c>
      <c r="J16">
        <f t="shared" si="3"/>
        <v>3.32E-2</v>
      </c>
      <c r="O16" t="s">
        <v>33</v>
      </c>
      <c r="P16">
        <v>7.1999999999999995E-2</v>
      </c>
      <c r="Q16">
        <v>7.1999999999999995E-2</v>
      </c>
      <c r="R16">
        <v>1.1464000000000001</v>
      </c>
      <c r="S16">
        <v>0.30170000000000002</v>
      </c>
    </row>
    <row r="17" spans="1:19" x14ac:dyDescent="0.55000000000000004">
      <c r="A17" t="s">
        <v>42</v>
      </c>
      <c r="B17">
        <v>3.7000000000000002E-3</v>
      </c>
      <c r="C17">
        <v>3.7000000000000002E-3</v>
      </c>
      <c r="D17">
        <v>0.64319999999999999</v>
      </c>
      <c r="E17">
        <v>-0.71879999999999999</v>
      </c>
      <c r="F17" s="1">
        <v>2165</v>
      </c>
      <c r="G17">
        <f t="shared" si="1"/>
        <v>2.165</v>
      </c>
      <c r="H17">
        <f t="shared" si="2"/>
        <v>0.13567383291717638</v>
      </c>
      <c r="I17">
        <f t="shared" si="0"/>
        <v>3.6977688218553014E-3</v>
      </c>
      <c r="J17">
        <f t="shared" si="3"/>
        <v>2.9600000000000004E-3</v>
      </c>
      <c r="O17" t="s">
        <v>33</v>
      </c>
      <c r="P17">
        <v>4.36E-2</v>
      </c>
      <c r="Q17">
        <v>4.36E-2</v>
      </c>
      <c r="R17">
        <v>1.0759000000000001</v>
      </c>
      <c r="S17">
        <v>0.12759999999999999</v>
      </c>
    </row>
    <row r="18" spans="1:19" x14ac:dyDescent="0.55000000000000004">
      <c r="A18" t="s">
        <v>14</v>
      </c>
      <c r="B18">
        <v>6.1400000000000003E-2</v>
      </c>
      <c r="C18">
        <v>6.1400000000000003E-2</v>
      </c>
      <c r="D18">
        <v>1.4254</v>
      </c>
      <c r="E18">
        <v>0.46150000000000002</v>
      </c>
      <c r="F18" s="1">
        <v>991.3</v>
      </c>
      <c r="G18">
        <f t="shared" si="1"/>
        <v>0.99129999999999996</v>
      </c>
      <c r="H18">
        <f t="shared" si="2"/>
        <v>2.2522673638698874</v>
      </c>
      <c r="I18">
        <f t="shared" si="0"/>
        <v>6.1385190183905564E-2</v>
      </c>
      <c r="J18">
        <f t="shared" si="3"/>
        <v>4.9120000000000004E-2</v>
      </c>
      <c r="O18" t="s">
        <v>14</v>
      </c>
      <c r="P18">
        <v>6.4399999999999999E-2</v>
      </c>
      <c r="Q18">
        <v>6.4399999999999999E-2</v>
      </c>
      <c r="R18">
        <v>1.353</v>
      </c>
      <c r="S18">
        <v>0.37880000000000003</v>
      </c>
    </row>
    <row r="19" spans="1:19" x14ac:dyDescent="0.55000000000000004">
      <c r="A19" t="s">
        <v>29</v>
      </c>
      <c r="B19">
        <v>1E-4</v>
      </c>
      <c r="C19">
        <v>1E-4</v>
      </c>
      <c r="D19">
        <v>0.01</v>
      </c>
      <c r="E19">
        <v>-0.99580000000000002</v>
      </c>
      <c r="F19" s="1">
        <v>1006</v>
      </c>
      <c r="G19">
        <f t="shared" si="1"/>
        <v>1.006</v>
      </c>
      <c r="H19">
        <f t="shared" si="2"/>
        <v>3.6722710779112586E-3</v>
      </c>
      <c r="I19">
        <f t="shared" si="0"/>
        <v>1.0008716644417935E-4</v>
      </c>
      <c r="J19">
        <f t="shared" si="3"/>
        <v>8.0000000000000007E-5</v>
      </c>
      <c r="O19" t="s">
        <v>36</v>
      </c>
      <c r="P19">
        <v>4.0000000000000002E-4</v>
      </c>
      <c r="Q19">
        <v>4.0000000000000002E-4</v>
      </c>
      <c r="R19">
        <v>0.77580000000000005</v>
      </c>
      <c r="S19">
        <v>-0.93269999999999997</v>
      </c>
    </row>
    <row r="20" spans="1:19" x14ac:dyDescent="0.55000000000000004">
      <c r="A20" t="s">
        <v>25</v>
      </c>
      <c r="B20">
        <v>1.6899999999999998E-2</v>
      </c>
      <c r="C20">
        <v>1.6899999999999998E-2</v>
      </c>
      <c r="D20">
        <v>0.7984</v>
      </c>
      <c r="E20">
        <v>-0.22470000000000001</v>
      </c>
      <c r="F20" s="1">
        <v>1126.4956164985676</v>
      </c>
      <c r="G20">
        <f t="shared" si="1"/>
        <v>1.1264956164985676</v>
      </c>
      <c r="H20">
        <f t="shared" si="2"/>
        <v>0.61985535967140837</v>
      </c>
      <c r="I20">
        <f t="shared" si="0"/>
        <v>1.6894059626457705E-2</v>
      </c>
      <c r="J20">
        <f t="shared" si="3"/>
        <v>1.3519999999999999E-2</v>
      </c>
      <c r="O20" t="s">
        <v>37</v>
      </c>
      <c r="P20">
        <v>1.6299999999999999E-2</v>
      </c>
      <c r="Q20">
        <v>1.6299999999999999E-2</v>
      </c>
      <c r="R20">
        <v>0.70530000000000004</v>
      </c>
      <c r="S20">
        <v>-0.30780000000000002</v>
      </c>
    </row>
    <row r="21" spans="1:19" x14ac:dyDescent="0.55000000000000004">
      <c r="A21" t="s">
        <v>15</v>
      </c>
      <c r="B21">
        <v>3.8699999999999998E-2</v>
      </c>
      <c r="C21">
        <v>3.8699999999999998E-2</v>
      </c>
      <c r="D21">
        <v>1.1011</v>
      </c>
      <c r="E21">
        <v>0.16170000000000001</v>
      </c>
      <c r="F21" s="1">
        <v>1571.3</v>
      </c>
      <c r="G21">
        <f t="shared" si="1"/>
        <v>1.5712999999999999</v>
      </c>
      <c r="H21">
        <f t="shared" si="2"/>
        <v>1.4196195172878556</v>
      </c>
      <c r="I21">
        <f t="shared" si="0"/>
        <v>3.8691505038623598E-2</v>
      </c>
      <c r="J21">
        <f t="shared" si="3"/>
        <v>3.0960000000000001E-2</v>
      </c>
      <c r="O21" t="s">
        <v>15</v>
      </c>
      <c r="P21">
        <v>4.0599999999999997E-2</v>
      </c>
      <c r="Q21">
        <v>4.0599999999999997E-2</v>
      </c>
      <c r="R21">
        <v>1.0629999999999999</v>
      </c>
      <c r="S21">
        <v>9.9400000000000002E-2</v>
      </c>
    </row>
    <row r="22" spans="1:19" x14ac:dyDescent="0.55000000000000004">
      <c r="A22" t="s">
        <v>43</v>
      </c>
      <c r="B22">
        <v>6.0600000000000001E-2</v>
      </c>
      <c r="C22">
        <v>6.0600000000000001E-2</v>
      </c>
      <c r="D22">
        <v>1.5236000000000001</v>
      </c>
      <c r="E22">
        <v>0.47599999999999998</v>
      </c>
      <c r="F22" s="1">
        <v>793.6</v>
      </c>
      <c r="G22">
        <f t="shared" si="1"/>
        <v>0.79359999999999997</v>
      </c>
      <c r="H22">
        <f t="shared" si="2"/>
        <v>2.2229375804596354</v>
      </c>
      <c r="I22">
        <f t="shared" si="0"/>
        <v>6.0585811583667992E-2</v>
      </c>
      <c r="J22">
        <f t="shared" si="3"/>
        <v>4.8480000000000002E-2</v>
      </c>
      <c r="O22" t="s">
        <v>16</v>
      </c>
      <c r="P22">
        <v>6.3600000000000004E-2</v>
      </c>
      <c r="Q22">
        <v>6.3600000000000004E-2</v>
      </c>
      <c r="R22">
        <v>1.4319999999999999</v>
      </c>
      <c r="S22">
        <v>0.3851</v>
      </c>
    </row>
    <row r="23" spans="1:19" x14ac:dyDescent="0.55000000000000004">
      <c r="A23" t="s">
        <v>17</v>
      </c>
      <c r="B23">
        <v>0.1298</v>
      </c>
      <c r="C23">
        <v>0.1298</v>
      </c>
      <c r="D23">
        <v>2.0569999999999999</v>
      </c>
      <c r="E23">
        <v>1.0052000000000001</v>
      </c>
      <c r="F23" s="1">
        <v>834.9</v>
      </c>
      <c r="G23">
        <f t="shared" ref="G23:G24" si="4">F23/1000</f>
        <v>0.83489999999999998</v>
      </c>
      <c r="H23">
        <f t="shared" ref="H23:H24" si="5">D23*EXP(G23*E23)</f>
        <v>4.7611540706355102</v>
      </c>
      <c r="I23">
        <f t="shared" ref="I23:I24" si="6">H23/H$25</f>
        <v>0.12976449990318331</v>
      </c>
      <c r="J23">
        <f t="shared" ref="J23:J24" si="7">0.8*B23</f>
        <v>0.10384</v>
      </c>
      <c r="O23" t="s">
        <v>17</v>
      </c>
      <c r="P23">
        <v>0.1361</v>
      </c>
      <c r="Q23">
        <v>0.1361</v>
      </c>
      <c r="R23">
        <v>1.9359</v>
      </c>
      <c r="S23">
        <v>0.9173</v>
      </c>
    </row>
    <row r="24" spans="1:19" x14ac:dyDescent="0.55000000000000004">
      <c r="A24" t="s">
        <v>44</v>
      </c>
      <c r="B24">
        <v>5.0000000000000001E-3</v>
      </c>
      <c r="C24">
        <v>5.0000000000000001E-3</v>
      </c>
      <c r="D24">
        <v>0.55469999999999997</v>
      </c>
      <c r="E24">
        <v>-0.66080000000000005</v>
      </c>
      <c r="F24" s="1">
        <v>1675</v>
      </c>
      <c r="G24">
        <f t="shared" si="4"/>
        <v>1.675</v>
      </c>
      <c r="H24">
        <f t="shared" si="5"/>
        <v>0.18338493747017243</v>
      </c>
      <c r="I24">
        <f t="shared" si="6"/>
        <v>4.9981274177538027E-3</v>
      </c>
      <c r="J24">
        <f t="shared" si="7"/>
        <v>4.0000000000000001E-3</v>
      </c>
    </row>
    <row r="25" spans="1:19" x14ac:dyDescent="0.55000000000000004">
      <c r="H25">
        <f>SUM(H2:H24)</f>
        <v>36.690728775495494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93CE8-724F-4196-B8ED-46C1B56F7FE6}">
  <dimension ref="A1:E22"/>
  <sheetViews>
    <sheetView workbookViewId="0">
      <selection activeCell="A2" sqref="A2:A24"/>
    </sheetView>
  </sheetViews>
  <sheetFormatPr defaultRowHeight="14.4" x14ac:dyDescent="0.55000000000000004"/>
  <cols>
    <col min="1" max="1" width="11.1015625" bestFit="1" customWidth="1"/>
    <col min="2" max="2" width="9.3125" bestFit="1" customWidth="1"/>
    <col min="3" max="3" width="10.62890625" bestFit="1" customWidth="1"/>
    <col min="4" max="4" width="6.68359375" bestFit="1" customWidth="1"/>
    <col min="5" max="5" width="7.26171875" bestFit="1" customWidth="1"/>
  </cols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 t="s">
        <v>5</v>
      </c>
      <c r="B2">
        <v>1.6999999999999999E-3</v>
      </c>
      <c r="C2">
        <v>1.6999999999999999E-3</v>
      </c>
      <c r="D2">
        <v>7.4399999999999994E-2</v>
      </c>
      <c r="E2">
        <v>-0.43690000000000001</v>
      </c>
    </row>
    <row r="3" spans="1:5" x14ac:dyDescent="0.55000000000000004">
      <c r="A3" t="s">
        <v>6</v>
      </c>
      <c r="B3">
        <v>2.8E-3</v>
      </c>
      <c r="C3">
        <v>2.8E-3</v>
      </c>
      <c r="D3">
        <v>0.1769</v>
      </c>
      <c r="E3">
        <v>-0.64739999999999998</v>
      </c>
    </row>
    <row r="4" spans="1:5" x14ac:dyDescent="0.55000000000000004">
      <c r="A4" t="s">
        <v>7</v>
      </c>
      <c r="B4">
        <v>1.24E-2</v>
      </c>
      <c r="C4">
        <v>1.2200000000000001E-2</v>
      </c>
      <c r="D4">
        <v>0.91479999999999995</v>
      </c>
      <c r="E4">
        <v>-0.26850000000000002</v>
      </c>
    </row>
    <row r="5" spans="1:5" x14ac:dyDescent="0.55000000000000004">
      <c r="A5" t="s">
        <v>18</v>
      </c>
      <c r="B5">
        <v>4.5999999999999999E-3</v>
      </c>
      <c r="C5">
        <v>4.5999999999999999E-3</v>
      </c>
      <c r="D5">
        <v>0.31440000000000001</v>
      </c>
      <c r="E5">
        <v>-0.6411</v>
      </c>
    </row>
    <row r="6" spans="1:5" x14ac:dyDescent="0.55000000000000004">
      <c r="A6" t="s">
        <v>8</v>
      </c>
      <c r="B6">
        <v>0.14979999999999999</v>
      </c>
      <c r="C6">
        <v>0.1479</v>
      </c>
      <c r="D6">
        <v>1.1469</v>
      </c>
      <c r="E6">
        <v>0.43009999999999998</v>
      </c>
    </row>
    <row r="7" spans="1:5" x14ac:dyDescent="0.55000000000000004">
      <c r="A7" t="s">
        <v>19</v>
      </c>
      <c r="B7">
        <v>2.3999999999999998E-3</v>
      </c>
      <c r="C7">
        <v>2.3E-3</v>
      </c>
      <c r="D7">
        <v>0.1157</v>
      </c>
      <c r="E7">
        <v>-0.52669999999999995</v>
      </c>
    </row>
    <row r="8" spans="1:5" x14ac:dyDescent="0.55000000000000004">
      <c r="A8" t="s">
        <v>9</v>
      </c>
      <c r="B8">
        <v>3.0000000000000001E-3</v>
      </c>
      <c r="C8">
        <v>3.0000000000000001E-3</v>
      </c>
      <c r="D8">
        <v>0.18659999999999999</v>
      </c>
      <c r="E8">
        <v>-0.628</v>
      </c>
    </row>
    <row r="9" spans="1:5" x14ac:dyDescent="0.55000000000000004">
      <c r="A9" t="s">
        <v>10</v>
      </c>
      <c r="B9">
        <v>0.01</v>
      </c>
      <c r="C9">
        <v>9.9000000000000008E-3</v>
      </c>
      <c r="D9">
        <v>0.85819999999999996</v>
      </c>
      <c r="E9">
        <v>-0.37009999999999998</v>
      </c>
    </row>
    <row r="10" spans="1:5" x14ac:dyDescent="0.55000000000000004">
      <c r="A10" t="s">
        <v>20</v>
      </c>
      <c r="B10">
        <v>0.4355</v>
      </c>
      <c r="C10">
        <v>0.4299</v>
      </c>
      <c r="D10">
        <v>2.5627</v>
      </c>
      <c r="E10">
        <v>1.7153</v>
      </c>
    </row>
    <row r="11" spans="1:5" x14ac:dyDescent="0.55000000000000004">
      <c r="A11" t="s">
        <v>11</v>
      </c>
      <c r="B11">
        <v>1.3100000000000001E-2</v>
      </c>
      <c r="C11">
        <v>1.29E-2</v>
      </c>
      <c r="D11">
        <v>0.52070000000000005</v>
      </c>
      <c r="E11">
        <v>-0.2843</v>
      </c>
    </row>
    <row r="12" spans="1:5" x14ac:dyDescent="0.55000000000000004">
      <c r="A12" t="s">
        <v>12</v>
      </c>
      <c r="B12">
        <v>1.3100000000000001E-2</v>
      </c>
      <c r="C12">
        <v>1.29E-2</v>
      </c>
      <c r="D12">
        <v>0.52070000000000005</v>
      </c>
      <c r="E12">
        <v>-0.2843</v>
      </c>
    </row>
    <row r="13" spans="1:5" x14ac:dyDescent="0.55000000000000004">
      <c r="A13" t="s">
        <v>21</v>
      </c>
      <c r="B13">
        <v>9.1999999999999998E-3</v>
      </c>
      <c r="C13">
        <v>9.1000000000000004E-3</v>
      </c>
      <c r="D13">
        <v>0.44950000000000001</v>
      </c>
      <c r="E13">
        <v>-0.43409999999999999</v>
      </c>
    </row>
    <row r="14" spans="1:5" x14ac:dyDescent="0.55000000000000004">
      <c r="A14" t="s">
        <v>13</v>
      </c>
      <c r="B14">
        <v>3.7000000000000002E-3</v>
      </c>
      <c r="C14">
        <v>3.5999999999999999E-3</v>
      </c>
      <c r="D14">
        <v>0.86150000000000004</v>
      </c>
      <c r="E14">
        <v>-0.52829999999999999</v>
      </c>
    </row>
    <row r="15" spans="1:5" x14ac:dyDescent="0.55000000000000004">
      <c r="A15" t="s">
        <v>22</v>
      </c>
      <c r="B15">
        <v>3.61E-2</v>
      </c>
      <c r="C15">
        <v>3.56E-2</v>
      </c>
      <c r="D15">
        <v>1.0802</v>
      </c>
      <c r="E15">
        <v>8.5500000000000007E-2</v>
      </c>
    </row>
    <row r="16" spans="1:5" x14ac:dyDescent="0.55000000000000004">
      <c r="A16" t="s">
        <v>23</v>
      </c>
      <c r="B16">
        <v>4.2599999999999999E-2</v>
      </c>
      <c r="C16">
        <v>4.2000000000000003E-2</v>
      </c>
      <c r="D16">
        <v>1.1782999999999999</v>
      </c>
      <c r="E16">
        <v>0.17330000000000001</v>
      </c>
    </row>
    <row r="17" spans="1:5" x14ac:dyDescent="0.55000000000000004">
      <c r="A17" t="s">
        <v>14</v>
      </c>
      <c r="B17">
        <v>1.3299999999999999E-2</v>
      </c>
      <c r="C17">
        <v>1.32E-2</v>
      </c>
      <c r="D17">
        <v>0.57150000000000001</v>
      </c>
      <c r="E17">
        <v>-0.32050000000000001</v>
      </c>
    </row>
    <row r="18" spans="1:5" x14ac:dyDescent="0.55000000000000004">
      <c r="A18" t="s">
        <v>24</v>
      </c>
      <c r="B18">
        <v>2.0999999999999999E-3</v>
      </c>
      <c r="C18">
        <v>2.0999999999999999E-3</v>
      </c>
      <c r="D18">
        <v>0.78959999999999997</v>
      </c>
      <c r="E18">
        <v>-0.71089999999999998</v>
      </c>
    </row>
    <row r="19" spans="1:5" x14ac:dyDescent="0.55000000000000004">
      <c r="A19" t="s">
        <v>25</v>
      </c>
      <c r="B19">
        <v>4.1300000000000003E-2</v>
      </c>
      <c r="C19">
        <v>4.0800000000000003E-2</v>
      </c>
      <c r="D19">
        <v>1.1829000000000001</v>
      </c>
      <c r="E19">
        <v>0.15970000000000001</v>
      </c>
    </row>
    <row r="20" spans="1:5" x14ac:dyDescent="0.55000000000000004">
      <c r="A20" t="s">
        <v>15</v>
      </c>
      <c r="B20">
        <v>1.21E-2</v>
      </c>
      <c r="C20">
        <v>1.2E-2</v>
      </c>
      <c r="D20">
        <v>0.66739999999999999</v>
      </c>
      <c r="E20">
        <v>-0.40460000000000002</v>
      </c>
    </row>
    <row r="21" spans="1:5" x14ac:dyDescent="0.55000000000000004">
      <c r="A21" t="s">
        <v>16</v>
      </c>
      <c r="B21">
        <v>1.26E-2</v>
      </c>
      <c r="C21">
        <v>1.2500000000000001E-2</v>
      </c>
      <c r="D21">
        <v>0.47</v>
      </c>
      <c r="E21">
        <v>-0.2356</v>
      </c>
    </row>
    <row r="22" spans="1:5" x14ac:dyDescent="0.55000000000000004">
      <c r="A22" t="s">
        <v>17</v>
      </c>
      <c r="B22">
        <v>0.19159999999999999</v>
      </c>
      <c r="C22">
        <v>0.18920000000000001</v>
      </c>
      <c r="D22">
        <v>3.5630000000000002</v>
      </c>
      <c r="E22">
        <v>1.546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E0527-B608-4B6E-A7B5-00780FD8F3FC}">
  <dimension ref="A1:T34"/>
  <sheetViews>
    <sheetView zoomScale="90" zoomScaleNormal="90" workbookViewId="0">
      <selection activeCell="A2" sqref="A2:A24"/>
    </sheetView>
  </sheetViews>
  <sheetFormatPr defaultRowHeight="14.4" x14ac:dyDescent="0.55000000000000004"/>
  <cols>
    <col min="1" max="1" width="20.47265625" bestFit="1" customWidth="1"/>
    <col min="6" max="6" width="9.89453125" bestFit="1" customWidth="1"/>
  </cols>
  <sheetData>
    <row r="1" spans="1:2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27</v>
      </c>
      <c r="I1" t="s">
        <v>26</v>
      </c>
    </row>
    <row r="2" spans="1:20" x14ac:dyDescent="0.55000000000000004">
      <c r="A2" t="s">
        <v>28</v>
      </c>
      <c r="B2">
        <v>1.9E-3</v>
      </c>
      <c r="C2">
        <v>1.9E-3</v>
      </c>
      <c r="D2">
        <v>1.5237000000000001</v>
      </c>
      <c r="E2">
        <v>-0.84209999999999996</v>
      </c>
      <c r="F2" s="1">
        <v>1745.154117450131</v>
      </c>
      <c r="G2">
        <f t="shared" ref="G2:G24" si="0">F2/1000</f>
        <v>1.745154117450131</v>
      </c>
      <c r="H2">
        <f t="shared" ref="H2:H24" si="1">D2*EXP(G2*E2)</f>
        <v>0.35047962872443461</v>
      </c>
      <c r="I2">
        <f t="shared" ref="I2:I24" si="2">H2/H$28</f>
        <v>1.8980697835841904E-3</v>
      </c>
      <c r="J2">
        <f t="shared" ref="J2:J24" si="3">I2*J$28</f>
        <v>31.042931310519435</v>
      </c>
      <c r="P2" t="s">
        <v>28</v>
      </c>
      <c r="Q2">
        <v>1.9E-3</v>
      </c>
      <c r="R2">
        <v>1.9E-3</v>
      </c>
      <c r="S2">
        <v>1.5237000000000001</v>
      </c>
      <c r="T2">
        <v>-0.84209999999999996</v>
      </c>
    </row>
    <row r="3" spans="1:20" x14ac:dyDescent="0.55000000000000004">
      <c r="A3" t="s">
        <v>7</v>
      </c>
      <c r="B3">
        <v>8.4400000000000003E-2</v>
      </c>
      <c r="C3">
        <v>8.4400000000000003E-2</v>
      </c>
      <c r="D3">
        <v>1.5591999999999999</v>
      </c>
      <c r="E3">
        <v>1.2123999999999999</v>
      </c>
      <c r="F3" s="1">
        <v>1898.8754666719735</v>
      </c>
      <c r="G3">
        <f t="shared" si="0"/>
        <v>1.8988754666719736</v>
      </c>
      <c r="H3">
        <f t="shared" si="1"/>
        <v>15.585944039860252</v>
      </c>
      <c r="I3">
        <f t="shared" si="2"/>
        <v>8.4407785805869801E-2</v>
      </c>
      <c r="J3">
        <f t="shared" si="3"/>
        <v>1380.4893368550006</v>
      </c>
      <c r="P3" t="s">
        <v>7</v>
      </c>
      <c r="Q3">
        <v>8.4400000000000003E-2</v>
      </c>
      <c r="R3">
        <v>8.4400000000000003E-2</v>
      </c>
      <c r="S3">
        <v>1.5591999999999999</v>
      </c>
      <c r="T3">
        <v>1.2123999999999999</v>
      </c>
    </row>
    <row r="4" spans="1:20" x14ac:dyDescent="0.55000000000000004">
      <c r="A4" t="s">
        <v>39</v>
      </c>
      <c r="B4">
        <v>4.5999999999999999E-3</v>
      </c>
      <c r="C4">
        <v>4.5999999999999999E-3</v>
      </c>
      <c r="D4">
        <v>1.6691</v>
      </c>
      <c r="E4">
        <v>-0.53049999999999997</v>
      </c>
      <c r="F4" s="1">
        <v>1287.9335664335665</v>
      </c>
      <c r="G4">
        <f t="shared" si="0"/>
        <v>1.2879335664335665</v>
      </c>
      <c r="H4">
        <f t="shared" si="1"/>
        <v>0.84285174871753477</v>
      </c>
      <c r="I4">
        <f t="shared" si="2"/>
        <v>4.564577525102571E-3</v>
      </c>
      <c r="J4">
        <f t="shared" si="3"/>
        <v>74.653665423052544</v>
      </c>
      <c r="P4" t="s">
        <v>39</v>
      </c>
      <c r="Q4">
        <v>4.5999999999999999E-3</v>
      </c>
      <c r="R4">
        <v>4.5999999999999999E-3</v>
      </c>
      <c r="S4">
        <v>1.6691</v>
      </c>
      <c r="T4">
        <v>-0.53049999999999997</v>
      </c>
    </row>
    <row r="5" spans="1:20" x14ac:dyDescent="0.55000000000000004">
      <c r="A5" t="s">
        <v>8</v>
      </c>
      <c r="B5">
        <v>0</v>
      </c>
      <c r="C5">
        <v>0</v>
      </c>
      <c r="D5">
        <v>2.0541999999999998</v>
      </c>
      <c r="E5">
        <v>-6.0327000000000002</v>
      </c>
      <c r="F5" s="1">
        <v>1090.4494219653179</v>
      </c>
      <c r="G5">
        <f t="shared" si="0"/>
        <v>1.090449421965318</v>
      </c>
      <c r="H5">
        <f t="shared" si="1"/>
        <v>2.8556158491818561E-3</v>
      </c>
      <c r="I5">
        <f t="shared" si="2"/>
        <v>1.5464973461033312E-5</v>
      </c>
      <c r="J5">
        <f t="shared" si="3"/>
        <v>0.25292964095519982</v>
      </c>
      <c r="P5" t="s">
        <v>8</v>
      </c>
      <c r="Q5">
        <v>0</v>
      </c>
      <c r="R5">
        <v>0</v>
      </c>
      <c r="S5">
        <v>2.0541999999999998</v>
      </c>
      <c r="T5">
        <v>-6.0327000000000002</v>
      </c>
    </row>
    <row r="6" spans="1:20" x14ac:dyDescent="0.55000000000000004">
      <c r="A6" t="s">
        <v>19</v>
      </c>
      <c r="B6">
        <v>0</v>
      </c>
      <c r="C6">
        <v>0</v>
      </c>
      <c r="D6">
        <v>0.01</v>
      </c>
      <c r="E6">
        <v>-6.0385999999999997</v>
      </c>
      <c r="F6" s="1">
        <v>1439.2447990849241</v>
      </c>
      <c r="G6">
        <f t="shared" si="0"/>
        <v>1.4392447990849242</v>
      </c>
      <c r="H6">
        <f t="shared" si="1"/>
        <v>1.6808787602225394E-6</v>
      </c>
      <c r="I6">
        <f t="shared" si="2"/>
        <v>9.1030260339477146E-9</v>
      </c>
      <c r="J6">
        <f t="shared" si="3"/>
        <v>1.4887999078521487E-4</v>
      </c>
      <c r="P6" t="s">
        <v>32</v>
      </c>
      <c r="Q6">
        <v>0</v>
      </c>
      <c r="R6">
        <v>0</v>
      </c>
      <c r="S6">
        <v>0.01</v>
      </c>
      <c r="T6">
        <v>-6.0385999999999997</v>
      </c>
    </row>
    <row r="7" spans="1:20" x14ac:dyDescent="0.55000000000000004">
      <c r="A7" t="s">
        <v>9</v>
      </c>
      <c r="B7">
        <v>0</v>
      </c>
      <c r="C7">
        <v>0</v>
      </c>
      <c r="D7">
        <v>0.01</v>
      </c>
      <c r="E7">
        <v>-6.0381</v>
      </c>
      <c r="F7" s="1">
        <v>1439.2447990849241</v>
      </c>
      <c r="G7">
        <f t="shared" si="0"/>
        <v>1.4392447990849242</v>
      </c>
      <c r="H7">
        <f t="shared" si="1"/>
        <v>1.682088793560638E-6</v>
      </c>
      <c r="I7">
        <f t="shared" si="2"/>
        <v>9.1095791329809847E-9</v>
      </c>
      <c r="J7">
        <f t="shared" si="3"/>
        <v>1.48987166719904E-4</v>
      </c>
      <c r="P7" t="s">
        <v>9</v>
      </c>
      <c r="Q7">
        <v>0</v>
      </c>
      <c r="R7">
        <v>0</v>
      </c>
      <c r="S7">
        <v>0.01</v>
      </c>
      <c r="T7">
        <v>-6.0381</v>
      </c>
    </row>
    <row r="8" spans="1:20" x14ac:dyDescent="0.55000000000000004">
      <c r="A8" t="s">
        <v>38</v>
      </c>
      <c r="B8">
        <v>9.8400000000000001E-2</v>
      </c>
      <c r="C8">
        <v>9.8400000000000001E-2</v>
      </c>
      <c r="D8">
        <v>3.2071999999999998</v>
      </c>
      <c r="E8">
        <v>2.2084000000000001</v>
      </c>
      <c r="F8" s="1">
        <v>785.36627671487452</v>
      </c>
      <c r="G8">
        <f t="shared" si="0"/>
        <v>0.78536627671487447</v>
      </c>
      <c r="H8">
        <f t="shared" si="1"/>
        <v>18.170532124149457</v>
      </c>
      <c r="I8">
        <f t="shared" si="2"/>
        <v>9.8404971786850828E-2</v>
      </c>
      <c r="J8">
        <f t="shared" si="3"/>
        <v>1609.4133135739453</v>
      </c>
      <c r="P8" t="s">
        <v>38</v>
      </c>
      <c r="Q8">
        <v>9.8400000000000001E-2</v>
      </c>
      <c r="R8">
        <v>9.8400000000000001E-2</v>
      </c>
      <c r="S8">
        <v>3.2071999999999998</v>
      </c>
      <c r="T8">
        <v>2.2084000000000001</v>
      </c>
    </row>
    <row r="9" spans="1:20" x14ac:dyDescent="0.55000000000000004">
      <c r="A9" t="s">
        <v>10</v>
      </c>
      <c r="B9">
        <v>5.0000000000000001E-4</v>
      </c>
      <c r="C9">
        <v>5.9999999999999995E-4</v>
      </c>
      <c r="D9">
        <v>0.36570000000000003</v>
      </c>
      <c r="E9">
        <v>-1.42</v>
      </c>
      <c r="F9" s="1">
        <v>901.71964832791423</v>
      </c>
      <c r="G9">
        <f t="shared" si="0"/>
        <v>0.90171964832791418</v>
      </c>
      <c r="H9">
        <f t="shared" si="1"/>
        <v>0.10163331902372671</v>
      </c>
      <c r="I9">
        <f t="shared" si="2"/>
        <v>5.5040897111877964E-4</v>
      </c>
      <c r="J9">
        <f t="shared" si="3"/>
        <v>9.0019387226476404</v>
      </c>
      <c r="P9" t="s">
        <v>10</v>
      </c>
      <c r="Q9">
        <v>5.0000000000000001E-4</v>
      </c>
      <c r="R9">
        <v>5.9999999999999995E-4</v>
      </c>
      <c r="S9">
        <v>0.36570000000000003</v>
      </c>
      <c r="T9">
        <v>-1.42</v>
      </c>
    </row>
    <row r="10" spans="1:20" x14ac:dyDescent="0.55000000000000004">
      <c r="A10" t="s">
        <v>11</v>
      </c>
      <c r="B10">
        <v>0.31809999999999999</v>
      </c>
      <c r="C10">
        <v>0.318</v>
      </c>
      <c r="D10">
        <v>8.2586999999999993</v>
      </c>
      <c r="E10">
        <v>6.5278</v>
      </c>
      <c r="F10" s="1">
        <v>300.50629997069785</v>
      </c>
      <c r="G10">
        <f t="shared" si="0"/>
        <v>0.30050629997069783</v>
      </c>
      <c r="H10">
        <f t="shared" si="1"/>
        <v>58.727741614923232</v>
      </c>
      <c r="I10">
        <f t="shared" si="2"/>
        <v>0.31804801957567874</v>
      </c>
      <c r="J10">
        <f t="shared" si="3"/>
        <v>5201.6753601602259</v>
      </c>
      <c r="P10" t="s">
        <v>11</v>
      </c>
      <c r="Q10">
        <v>0.31809999999999999</v>
      </c>
      <c r="R10">
        <v>0.318</v>
      </c>
      <c r="S10">
        <v>8.2586999999999993</v>
      </c>
      <c r="T10">
        <v>6.5278</v>
      </c>
    </row>
    <row r="11" spans="1:20" x14ac:dyDescent="0.55000000000000004">
      <c r="A11" t="s">
        <v>12</v>
      </c>
      <c r="B11">
        <v>1.2500000000000001E-2</v>
      </c>
      <c r="C11">
        <v>1.2500000000000001E-2</v>
      </c>
      <c r="D11">
        <v>2.2867000000000002</v>
      </c>
      <c r="E11">
        <v>3.5200000000000002E-2</v>
      </c>
      <c r="F11" s="1">
        <v>300.50629997069785</v>
      </c>
      <c r="G11">
        <f t="shared" si="0"/>
        <v>0.30050629997069783</v>
      </c>
      <c r="H11">
        <f t="shared" si="1"/>
        <v>2.3110166870739972</v>
      </c>
      <c r="I11">
        <f t="shared" si="2"/>
        <v>1.2515623116409049E-2</v>
      </c>
      <c r="J11">
        <f t="shared" si="3"/>
        <v>204.69301606887001</v>
      </c>
      <c r="P11" t="s">
        <v>12</v>
      </c>
      <c r="Q11">
        <v>1.2500000000000001E-2</v>
      </c>
      <c r="R11">
        <v>1.2500000000000001E-2</v>
      </c>
      <c r="S11">
        <v>2.2867000000000002</v>
      </c>
      <c r="T11">
        <v>3.5200000000000002E-2</v>
      </c>
    </row>
    <row r="12" spans="1:20" x14ac:dyDescent="0.55000000000000004">
      <c r="A12" t="s">
        <v>40</v>
      </c>
      <c r="B12">
        <v>1.18E-2</v>
      </c>
      <c r="C12">
        <v>1.18E-2</v>
      </c>
      <c r="D12">
        <v>1.671</v>
      </c>
      <c r="E12">
        <v>0.1857</v>
      </c>
      <c r="F12" s="1">
        <v>1449.6480971366436</v>
      </c>
      <c r="G12">
        <f t="shared" si="0"/>
        <v>1.4496480971366437</v>
      </c>
      <c r="H12">
        <f t="shared" si="1"/>
        <v>2.1871993750382739</v>
      </c>
      <c r="I12">
        <f t="shared" si="2"/>
        <v>1.1845073733795996E-2</v>
      </c>
      <c r="J12">
        <f t="shared" si="3"/>
        <v>193.72618091623352</v>
      </c>
      <c r="P12" t="s">
        <v>40</v>
      </c>
      <c r="Q12">
        <v>1.18E-2</v>
      </c>
      <c r="R12">
        <v>1.18E-2</v>
      </c>
      <c r="S12">
        <v>1.671</v>
      </c>
      <c r="T12">
        <v>0.1857</v>
      </c>
    </row>
    <row r="13" spans="1:20" x14ac:dyDescent="0.55000000000000004">
      <c r="A13" t="s">
        <v>41</v>
      </c>
      <c r="B13">
        <v>0</v>
      </c>
      <c r="C13">
        <v>0</v>
      </c>
      <c r="D13">
        <v>0.01</v>
      </c>
      <c r="E13">
        <v>-7.3921000000000001</v>
      </c>
      <c r="F13" s="1">
        <v>777.43171573243535</v>
      </c>
      <c r="G13">
        <f t="shared" si="0"/>
        <v>0.7774317157324353</v>
      </c>
      <c r="H13">
        <f t="shared" si="1"/>
        <v>3.1928128298584034E-5</v>
      </c>
      <c r="I13">
        <f t="shared" si="2"/>
        <v>1.7291109269460558E-7</v>
      </c>
      <c r="J13">
        <f t="shared" si="3"/>
        <v>2.8279609210202744E-3</v>
      </c>
      <c r="P13" t="s">
        <v>41</v>
      </c>
      <c r="Q13">
        <v>0</v>
      </c>
      <c r="R13">
        <v>0</v>
      </c>
      <c r="S13">
        <v>0.01</v>
      </c>
      <c r="T13">
        <v>-7.3921000000000001</v>
      </c>
    </row>
    <row r="14" spans="1:20" x14ac:dyDescent="0.55000000000000004">
      <c r="A14" t="s">
        <v>22</v>
      </c>
      <c r="B14">
        <v>1.01E-2</v>
      </c>
      <c r="C14">
        <v>1.01E-2</v>
      </c>
      <c r="D14">
        <v>1.9854000000000001</v>
      </c>
      <c r="E14">
        <v>-7.9100000000000004E-2</v>
      </c>
      <c r="F14" s="1">
        <v>777.43171573243535</v>
      </c>
      <c r="G14">
        <f t="shared" si="0"/>
        <v>0.7774317157324353</v>
      </c>
      <c r="H14">
        <f t="shared" si="1"/>
        <v>1.8669863558261544</v>
      </c>
      <c r="I14">
        <f t="shared" si="2"/>
        <v>1.0110916863427187E-2</v>
      </c>
      <c r="J14">
        <f t="shared" si="3"/>
        <v>165.36404530135164</v>
      </c>
      <c r="P14" t="s">
        <v>33</v>
      </c>
      <c r="Q14">
        <v>1.01E-2</v>
      </c>
      <c r="R14">
        <v>1.01E-2</v>
      </c>
      <c r="S14">
        <v>1.9854000000000001</v>
      </c>
      <c r="T14">
        <v>-7.9100000000000004E-2</v>
      </c>
    </row>
    <row r="15" spans="1:20" x14ac:dyDescent="0.55000000000000004">
      <c r="A15" t="s">
        <v>45</v>
      </c>
      <c r="B15">
        <v>9.6799999999999997E-2</v>
      </c>
      <c r="C15">
        <v>9.6799999999999997E-2</v>
      </c>
      <c r="D15">
        <v>4.6159999999999997</v>
      </c>
      <c r="E15">
        <v>2.7511000000000001</v>
      </c>
      <c r="F15" s="1">
        <v>492.2118584485678</v>
      </c>
      <c r="G15">
        <f t="shared" si="0"/>
        <v>0.4922118584485678</v>
      </c>
      <c r="H15">
        <f t="shared" si="1"/>
        <v>17.879460090052348</v>
      </c>
      <c r="I15">
        <f t="shared" si="2"/>
        <v>9.6828631858687716E-2</v>
      </c>
      <c r="J15">
        <f t="shared" si="3"/>
        <v>1583.6322740488376</v>
      </c>
      <c r="P15" t="s">
        <v>33</v>
      </c>
      <c r="Q15">
        <v>9.6799999999999997E-2</v>
      </c>
      <c r="R15">
        <v>9.6799999999999997E-2</v>
      </c>
      <c r="S15">
        <v>4.6159999999999997</v>
      </c>
      <c r="T15">
        <v>2.7511000000000001</v>
      </c>
    </row>
    <row r="16" spans="1:20" x14ac:dyDescent="0.55000000000000004">
      <c r="A16" t="s">
        <v>23</v>
      </c>
      <c r="B16">
        <v>6.3E-2</v>
      </c>
      <c r="C16">
        <v>6.3E-2</v>
      </c>
      <c r="D16">
        <v>1.8335999999999999</v>
      </c>
      <c r="E16">
        <v>1.2843</v>
      </c>
      <c r="F16" s="1">
        <v>1439.2447990849241</v>
      </c>
      <c r="G16">
        <f t="shared" si="0"/>
        <v>1.4392447990849242</v>
      </c>
      <c r="H16">
        <f t="shared" si="1"/>
        <v>11.642979065301393</v>
      </c>
      <c r="I16">
        <f t="shared" si="2"/>
        <v>6.3054126241749164E-2</v>
      </c>
      <c r="J16">
        <f t="shared" si="3"/>
        <v>1031.2502346838075</v>
      </c>
      <c r="P16" t="s">
        <v>33</v>
      </c>
      <c r="Q16">
        <v>6.3E-2</v>
      </c>
      <c r="R16">
        <v>6.3E-2</v>
      </c>
      <c r="S16">
        <v>1.8335999999999999</v>
      </c>
      <c r="T16">
        <v>1.2843</v>
      </c>
    </row>
    <row r="17" spans="1:20" x14ac:dyDescent="0.55000000000000004">
      <c r="A17" t="s">
        <v>42</v>
      </c>
      <c r="B17">
        <v>0</v>
      </c>
      <c r="C17">
        <v>0</v>
      </c>
      <c r="D17">
        <v>0.01</v>
      </c>
      <c r="E17">
        <v>-7.3921000000000001</v>
      </c>
      <c r="F17" s="1">
        <v>777.43171573243535</v>
      </c>
      <c r="G17">
        <f t="shared" si="0"/>
        <v>0.7774317157324353</v>
      </c>
      <c r="H17">
        <f t="shared" si="1"/>
        <v>3.1928128298584034E-5</v>
      </c>
      <c r="I17">
        <f t="shared" si="2"/>
        <v>1.7291109269460558E-7</v>
      </c>
      <c r="J17">
        <f t="shared" si="3"/>
        <v>2.8279609210202744E-3</v>
      </c>
      <c r="P17" t="s">
        <v>42</v>
      </c>
      <c r="Q17">
        <v>0</v>
      </c>
      <c r="R17">
        <v>0</v>
      </c>
      <c r="S17">
        <v>0.01</v>
      </c>
      <c r="T17">
        <v>-7.3921000000000001</v>
      </c>
    </row>
    <row r="18" spans="1:20" x14ac:dyDescent="0.55000000000000004">
      <c r="A18" t="s">
        <v>14</v>
      </c>
      <c r="B18">
        <v>3.8999999999999998E-3</v>
      </c>
      <c r="C18">
        <v>3.8999999999999998E-3</v>
      </c>
      <c r="D18">
        <v>1.4207000000000001</v>
      </c>
      <c r="E18">
        <v>-0.74719999999999998</v>
      </c>
      <c r="F18" s="1">
        <v>895.56633663366335</v>
      </c>
      <c r="G18">
        <f t="shared" si="0"/>
        <v>0.89556633663366336</v>
      </c>
      <c r="H18">
        <f t="shared" si="1"/>
        <v>0.72759008542716275</v>
      </c>
      <c r="I18">
        <f t="shared" si="2"/>
        <v>3.9403624142462356E-3</v>
      </c>
      <c r="J18">
        <f t="shared" si="3"/>
        <v>64.444627284997182</v>
      </c>
      <c r="P18" t="s">
        <v>14</v>
      </c>
      <c r="Q18">
        <v>3.8999999999999998E-3</v>
      </c>
      <c r="R18">
        <v>3.8999999999999998E-3</v>
      </c>
      <c r="S18">
        <v>1.4207000000000001</v>
      </c>
      <c r="T18">
        <v>-0.74719999999999998</v>
      </c>
    </row>
    <row r="19" spans="1:20" x14ac:dyDescent="0.55000000000000004">
      <c r="A19" t="s">
        <v>29</v>
      </c>
      <c r="B19">
        <v>0.16980000000000001</v>
      </c>
      <c r="C19">
        <v>0.16980000000000001</v>
      </c>
      <c r="D19">
        <v>2.0733000000000001</v>
      </c>
      <c r="E19">
        <v>2.0777999999999999</v>
      </c>
      <c r="F19" s="1">
        <v>1307.1631185061394</v>
      </c>
      <c r="G19">
        <f t="shared" si="0"/>
        <v>1.3071631185061394</v>
      </c>
      <c r="H19">
        <f t="shared" si="1"/>
        <v>31.348457659838484</v>
      </c>
      <c r="I19">
        <f t="shared" si="2"/>
        <v>0.1697718080296502</v>
      </c>
      <c r="J19">
        <f t="shared" si="3"/>
        <v>2776.6179203249289</v>
      </c>
      <c r="P19" t="s">
        <v>29</v>
      </c>
      <c r="Q19">
        <v>0.16980000000000001</v>
      </c>
      <c r="R19">
        <v>0.16980000000000001</v>
      </c>
      <c r="S19">
        <v>2.0733000000000001</v>
      </c>
      <c r="T19">
        <v>2.0777999999999999</v>
      </c>
    </row>
    <row r="20" spans="1:20" x14ac:dyDescent="0.55000000000000004">
      <c r="A20" t="s">
        <v>25</v>
      </c>
      <c r="B20">
        <v>0.1192</v>
      </c>
      <c r="C20">
        <v>0.1192</v>
      </c>
      <c r="D20">
        <v>6.1307999999999998</v>
      </c>
      <c r="E20">
        <v>3.5219999999999998</v>
      </c>
      <c r="F20" s="1">
        <v>362.85970819304157</v>
      </c>
      <c r="G20">
        <f t="shared" si="0"/>
        <v>0.36285970819304159</v>
      </c>
      <c r="H20">
        <f t="shared" si="1"/>
        <v>22.006043922936851</v>
      </c>
      <c r="I20">
        <f t="shared" si="2"/>
        <v>0.11917670415929912</v>
      </c>
      <c r="J20">
        <f t="shared" si="3"/>
        <v>1949.1349965253371</v>
      </c>
      <c r="P20" t="s">
        <v>37</v>
      </c>
      <c r="Q20">
        <v>0.1192</v>
      </c>
      <c r="R20">
        <v>0.1192</v>
      </c>
      <c r="S20">
        <v>6.1307999999999998</v>
      </c>
      <c r="T20">
        <v>3.5219999999999998</v>
      </c>
    </row>
    <row r="21" spans="1:20" x14ac:dyDescent="0.55000000000000004">
      <c r="A21" t="s">
        <v>15</v>
      </c>
      <c r="B21">
        <v>1.4E-3</v>
      </c>
      <c r="C21">
        <v>1.4E-3</v>
      </c>
      <c r="D21">
        <v>1.5472999999999999</v>
      </c>
      <c r="E21">
        <v>-0.73909999999999998</v>
      </c>
      <c r="F21" s="1">
        <v>2419.7815835726838</v>
      </c>
      <c r="G21">
        <f t="shared" si="0"/>
        <v>2.4197815835726839</v>
      </c>
      <c r="H21">
        <f t="shared" si="1"/>
        <v>0.25873546965422006</v>
      </c>
      <c r="I21">
        <f t="shared" si="2"/>
        <v>1.4012168943441396E-3</v>
      </c>
      <c r="J21">
        <f t="shared" si="3"/>
        <v>22.916902306998402</v>
      </c>
      <c r="P21" t="s">
        <v>15</v>
      </c>
      <c r="Q21">
        <v>1.4E-3</v>
      </c>
      <c r="R21">
        <v>1.4E-3</v>
      </c>
      <c r="S21">
        <v>1.5472999999999999</v>
      </c>
      <c r="T21">
        <v>-0.73909999999999998</v>
      </c>
    </row>
    <row r="22" spans="1:20" x14ac:dyDescent="0.55000000000000004">
      <c r="A22" t="s">
        <v>43</v>
      </c>
      <c r="B22">
        <v>8.0000000000000004E-4</v>
      </c>
      <c r="C22">
        <v>8.0000000000000004E-4</v>
      </c>
      <c r="D22">
        <v>1.8069</v>
      </c>
      <c r="E22">
        <v>-1.3957999999999999</v>
      </c>
      <c r="F22" s="1">
        <v>1774.4834812623274</v>
      </c>
      <c r="G22">
        <f t="shared" si="0"/>
        <v>1.7744834812623274</v>
      </c>
      <c r="H22">
        <f t="shared" si="1"/>
        <v>0.15179697019488006</v>
      </c>
      <c r="I22">
        <f t="shared" si="2"/>
        <v>8.220770017793752E-4</v>
      </c>
      <c r="J22">
        <f t="shared" si="3"/>
        <v>13.445069364101681</v>
      </c>
      <c r="P22" t="s">
        <v>43</v>
      </c>
      <c r="Q22">
        <v>8.0000000000000004E-4</v>
      </c>
      <c r="R22">
        <v>8.0000000000000004E-4</v>
      </c>
      <c r="S22">
        <v>1.8069</v>
      </c>
      <c r="T22">
        <v>-1.3957999999999999</v>
      </c>
    </row>
    <row r="23" spans="1:20" x14ac:dyDescent="0.55000000000000004">
      <c r="A23" t="s">
        <v>17</v>
      </c>
      <c r="B23">
        <v>2.5999999999999999E-3</v>
      </c>
      <c r="C23">
        <v>2.5999999999999999E-3</v>
      </c>
      <c r="D23">
        <v>0.5665</v>
      </c>
      <c r="E23">
        <v>-0.48759999999999998</v>
      </c>
      <c r="F23" s="1">
        <v>305.16649171987109</v>
      </c>
      <c r="G23">
        <f t="shared" si="0"/>
        <v>0.30516649171987109</v>
      </c>
      <c r="H23">
        <f t="shared" si="1"/>
        <v>0.48817692877293045</v>
      </c>
      <c r="I23">
        <f t="shared" si="2"/>
        <v>2.6437881166422009E-3</v>
      </c>
      <c r="J23">
        <f t="shared" si="3"/>
        <v>43.239154647683193</v>
      </c>
      <c r="P23" t="s">
        <v>17</v>
      </c>
      <c r="Q23">
        <v>2.5999999999999999E-3</v>
      </c>
      <c r="R23">
        <v>2.5999999999999999E-3</v>
      </c>
      <c r="S23">
        <v>0.5665</v>
      </c>
      <c r="T23">
        <v>-0.48759999999999998</v>
      </c>
    </row>
    <row r="24" spans="1:20" x14ac:dyDescent="0.55000000000000004">
      <c r="A24" t="s">
        <v>44</v>
      </c>
      <c r="B24">
        <v>0</v>
      </c>
      <c r="C24">
        <v>0</v>
      </c>
      <c r="D24">
        <v>0.01</v>
      </c>
      <c r="E24">
        <v>-6.0377999999999998</v>
      </c>
      <c r="F24" s="1">
        <v>1439.2447990849241</v>
      </c>
      <c r="G24">
        <f t="shared" si="0"/>
        <v>1.4392447990849242</v>
      </c>
      <c r="H24">
        <f t="shared" si="1"/>
        <v>1.6828152316420062E-6</v>
      </c>
      <c r="I24">
        <f t="shared" si="2"/>
        <v>9.1135132565615979E-9</v>
      </c>
      <c r="J24">
        <f t="shared" si="3"/>
        <v>1.4905150931106493E-4</v>
      </c>
      <c r="P24" t="s">
        <v>44</v>
      </c>
      <c r="Q24">
        <v>0</v>
      </c>
      <c r="R24">
        <v>0</v>
      </c>
      <c r="S24">
        <v>0.01</v>
      </c>
      <c r="T24">
        <v>-6.0377999999999998</v>
      </c>
    </row>
    <row r="25" spans="1:20" x14ac:dyDescent="0.55000000000000004">
      <c r="F25" s="1"/>
    </row>
    <row r="26" spans="1:20" x14ac:dyDescent="0.55000000000000004">
      <c r="F26" s="1"/>
    </row>
    <row r="27" spans="1:20" x14ac:dyDescent="0.55000000000000004">
      <c r="F27" s="1"/>
    </row>
    <row r="28" spans="1:20" x14ac:dyDescent="0.55000000000000004">
      <c r="H28">
        <f>SUM(H2:H27)</f>
        <v>184.65054960340387</v>
      </c>
      <c r="J28">
        <v>16355</v>
      </c>
    </row>
    <row r="30" spans="1:20" x14ac:dyDescent="0.55000000000000004">
      <c r="G30" cm="1">
        <f t="array" ref="G30">_xlfn.UNIQUE(K2:K27)</f>
        <v>0</v>
      </c>
      <c r="H30">
        <f>SUMIF(K$2:K$27,G30,J$2:J$27)</f>
        <v>0</v>
      </c>
      <c r="I30">
        <f>[1]Regional!$G$47/1000</f>
        <v>1719.1375970000001</v>
      </c>
    </row>
    <row r="31" spans="1:20" x14ac:dyDescent="0.55000000000000004">
      <c r="H31">
        <f t="shared" ref="H31:H33" si="4">SUMIF(K$2:K$27,G31,J$2:J$27)</f>
        <v>0</v>
      </c>
      <c r="I31">
        <f>[1]Regional!$G$46/1000</f>
        <v>1779.9131359999999</v>
      </c>
    </row>
    <row r="32" spans="1:20" x14ac:dyDescent="0.55000000000000004">
      <c r="H32">
        <f t="shared" si="4"/>
        <v>0</v>
      </c>
      <c r="I32">
        <f>[1]Regional!$G$44/1000</f>
        <v>11650.102856000001</v>
      </c>
    </row>
    <row r="33" spans="8:9" x14ac:dyDescent="0.55000000000000004">
      <c r="H33">
        <f t="shared" si="4"/>
        <v>0</v>
      </c>
      <c r="I33">
        <f>[1]Regional!$G$43/1000</f>
        <v>1206.6002649999998</v>
      </c>
    </row>
    <row r="34" spans="8:9" x14ac:dyDescent="0.55000000000000004">
      <c r="I34">
        <f>SUM(I30:I33)</f>
        <v>16355.753854000001</v>
      </c>
    </row>
  </sheetData>
  <sortState xmlns:xlrd2="http://schemas.microsoft.com/office/spreadsheetml/2017/richdata2" ref="A2:M28">
    <sortCondition ref="A2:A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Dom_Production</vt:lpstr>
      <vt:lpstr>Dom_Area</vt:lpstr>
      <vt:lpstr>Import_Production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Yara Elborolosy</dc:creator>
  <cp:lastModifiedBy>Yara Elborolosy</cp:lastModifiedBy>
  <dcterms:created xsi:type="dcterms:W3CDTF">2025-08-27T12:34:48Z</dcterms:created>
  <dcterms:modified xsi:type="dcterms:W3CDTF">2025-10-24T08:51:52Z</dcterms:modified>
</cp:coreProperties>
</file>